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DD unique" sheetId="1" r:id="rId5"/>
    <sheet state="visible" name="fiche de paye" sheetId="2" r:id="rId6"/>
    <sheet state="visible" name="Vente" sheetId="3" r:id="rId7"/>
    <sheet state="visible" name="Achat" sheetId="4" r:id="rId8"/>
    <sheet state="visible" name="Stock" sheetId="5" r:id="rId9"/>
    <sheet state="visible" name="Finance" sheetId="6" r:id="rId10"/>
    <sheet state="visible" name="Décisionnel" sheetId="7" r:id="rId11"/>
  </sheets>
  <definedNames>
    <definedName name="salarié">'BDD unique'!#REF!</definedName>
    <definedName name="Bouton_vente_onclick">#REF!</definedName>
    <definedName name="Produit">#REF!</definedName>
    <definedName name="entreprise">#REF!</definedName>
    <definedName name="Bouton_achat_Clic">#REF!</definedName>
  </definedNames>
  <calcPr/>
  <extLst>
    <ext uri="GoogleSheetsCustomDataVersion2">
      <go:sheetsCustomData xmlns:go="http://customooxmlschemas.google.com/" r:id="rId12" roundtripDataChecksum="VmiP6Gncs2B/fotJbm6GGWAFneZttFF+Fk2c1QwIF7s="/>
    </ext>
  </extLst>
</workbook>
</file>

<file path=xl/sharedStrings.xml><?xml version="1.0" encoding="utf-8"?>
<sst xmlns="http://schemas.openxmlformats.org/spreadsheetml/2006/main" count="156" uniqueCount="138">
  <si>
    <t>TABLE SALARIE</t>
  </si>
  <si>
    <t>matricule</t>
  </si>
  <si>
    <t>nom</t>
  </si>
  <si>
    <t>prénom</t>
  </si>
  <si>
    <t>date naissance</t>
  </si>
  <si>
    <t>fonction</t>
  </si>
  <si>
    <t>salaire (brut)</t>
  </si>
  <si>
    <t>Martin</t>
  </si>
  <si>
    <t>Paul</t>
  </si>
  <si>
    <t>ingénieur</t>
  </si>
  <si>
    <t>Bernard</t>
  </si>
  <si>
    <t>Sébastien</t>
  </si>
  <si>
    <t>technicien</t>
  </si>
  <si>
    <t>Domenech</t>
  </si>
  <si>
    <t>Raymon</t>
  </si>
  <si>
    <t>chef de projet</t>
  </si>
  <si>
    <t>Chirac</t>
  </si>
  <si>
    <t>Bernadette</t>
  </si>
  <si>
    <t>secrétaire</t>
  </si>
  <si>
    <t>Hollande</t>
  </si>
  <si>
    <t>François</t>
  </si>
  <si>
    <t>PDG</t>
  </si>
  <si>
    <t>Vaillant</t>
  </si>
  <si>
    <t>commercial</t>
  </si>
  <si>
    <t>Faure</t>
  </si>
  <si>
    <t>Michel</t>
  </si>
  <si>
    <t>Huster</t>
  </si>
  <si>
    <t>Françis</t>
  </si>
  <si>
    <t>TABLE PRODUIT</t>
  </si>
  <si>
    <t>id</t>
  </si>
  <si>
    <t>prix vente</t>
  </si>
  <si>
    <t>prix achat</t>
  </si>
  <si>
    <t>Peugeot 406</t>
  </si>
  <si>
    <t>BMW série 3</t>
  </si>
  <si>
    <t>Renault mégane</t>
  </si>
  <si>
    <t>Renault clio</t>
  </si>
  <si>
    <t>Table Entreprise</t>
  </si>
  <si>
    <t>adresse</t>
  </si>
  <si>
    <t>CP</t>
  </si>
  <si>
    <t>VILLE</t>
  </si>
  <si>
    <t>n°SIRET</t>
  </si>
  <si>
    <t>Concessionnaire Senghor</t>
  </si>
  <si>
    <t>Place Pierre Beregovoy</t>
  </si>
  <si>
    <t>MAGNANVILLE</t>
  </si>
  <si>
    <t>BULLETIN DE PAIE - CADRE</t>
  </si>
  <si>
    <t>EMPLOYEUR:</t>
  </si>
  <si>
    <t>SALARIE:</t>
  </si>
  <si>
    <t>Nom:</t>
  </si>
  <si>
    <t>matricule du salarié :</t>
  </si>
  <si>
    <t>Adresse:</t>
  </si>
  <si>
    <t>Nom et Prénom:</t>
  </si>
  <si>
    <t>CP et Ville :</t>
  </si>
  <si>
    <t>Date naissance</t>
  </si>
  <si>
    <t>Numéro SIRET:</t>
  </si>
  <si>
    <t>SALAIRE BRUT</t>
  </si>
  <si>
    <t>COTISATIONS</t>
  </si>
  <si>
    <t>PART SALARIALE</t>
  </si>
  <si>
    <t>PART PATRONALE</t>
  </si>
  <si>
    <t>Base</t>
  </si>
  <si>
    <t>Taux</t>
  </si>
  <si>
    <t>Montant</t>
  </si>
  <si>
    <t>CSG non déductible</t>
  </si>
  <si>
    <t>CRDS non déductible</t>
  </si>
  <si>
    <t>Csg déductible</t>
  </si>
  <si>
    <t>Sécurité sociale</t>
  </si>
  <si>
    <t>Assurance maladie</t>
  </si>
  <si>
    <t>Assurance veuvage</t>
  </si>
  <si>
    <t>Assurance vieillesse</t>
  </si>
  <si>
    <t>AV déplafonée</t>
  </si>
  <si>
    <t>AV plafonnée</t>
  </si>
  <si>
    <t>Accidents du travail</t>
  </si>
  <si>
    <t>Allocation familiales</t>
  </si>
  <si>
    <t>Aide au logement</t>
  </si>
  <si>
    <t>AL déplafonée</t>
  </si>
  <si>
    <t>AL plafonnée</t>
  </si>
  <si>
    <t>ASSEDIC</t>
  </si>
  <si>
    <t>Assurance chômage tranche B</t>
  </si>
  <si>
    <t>Assurance chômage tranche AGS (FNGS)</t>
  </si>
  <si>
    <t>Caisse de retraite (cadre)</t>
  </si>
  <si>
    <t>Retraite complémentaire et AGFF tranche B</t>
  </si>
  <si>
    <t>APEC</t>
  </si>
  <si>
    <t>Assurance décès des cadres</t>
  </si>
  <si>
    <t>CET</t>
  </si>
  <si>
    <t>TOTAL des cotisations</t>
  </si>
  <si>
    <t>Net à payer</t>
  </si>
  <si>
    <t>Salaire net imposable</t>
  </si>
  <si>
    <t>A CONSERVER SANS LIMITATION DE DUREE</t>
  </si>
  <si>
    <t>MODULE VENTE</t>
  </si>
  <si>
    <t>Sélectionnez le produit vendu</t>
  </si>
  <si>
    <t>2 : BMW série 3</t>
  </si>
  <si>
    <t>saisir la qté vendu</t>
  </si>
  <si>
    <t>Sélectionnez le commercial</t>
  </si>
  <si>
    <t>7 : Faure Michel</t>
  </si>
  <si>
    <t>Historique des ventes</t>
  </si>
  <si>
    <t>date vente</t>
  </si>
  <si>
    <t>n° produit vendu</t>
  </si>
  <si>
    <t>quantité vendu</t>
  </si>
  <si>
    <t>n° commercial</t>
  </si>
  <si>
    <t>Prix unitaire vente</t>
  </si>
  <si>
    <t>Prix total</t>
  </si>
  <si>
    <t>MOYENNE</t>
  </si>
  <si>
    <t>TOTAL</t>
  </si>
  <si>
    <t>MODULE ACHAT</t>
  </si>
  <si>
    <t>Sélectionnez le produit acheté</t>
  </si>
  <si>
    <t>saisir la qté acheté</t>
  </si>
  <si>
    <t>Historique des achats</t>
  </si>
  <si>
    <t>n° produit acheté</t>
  </si>
  <si>
    <t>quantité acheté</t>
  </si>
  <si>
    <t>Prix unitaire achat</t>
  </si>
  <si>
    <t>MODULE STOCK</t>
  </si>
  <si>
    <t>id produit</t>
  </si>
  <si>
    <t>nom produit</t>
  </si>
  <si>
    <t>Prix unitaire (achat)</t>
  </si>
  <si>
    <t>qté vendu</t>
  </si>
  <si>
    <t>qte acheté</t>
  </si>
  <si>
    <t>qté stock</t>
  </si>
  <si>
    <t>Valeur stock</t>
  </si>
  <si>
    <t>MODULE FINANCE</t>
  </si>
  <si>
    <t>Année 2015</t>
  </si>
  <si>
    <t>Charge</t>
  </si>
  <si>
    <t>Recette</t>
  </si>
  <si>
    <t>Total des salaires</t>
  </si>
  <si>
    <t>Chiffre d'Affaire</t>
  </si>
  <si>
    <t>Achats</t>
  </si>
  <si>
    <t>Divers charges</t>
  </si>
  <si>
    <t>Résultat Net</t>
  </si>
  <si>
    <t>MODULE Décisionnel
 (BI : BUSINESS INTELIGENCE)</t>
  </si>
  <si>
    <t>Ventes des vendeurs</t>
  </si>
  <si>
    <t>vendeur</t>
  </si>
  <si>
    <t>Total</t>
  </si>
  <si>
    <t>Voitures vendues</t>
  </si>
  <si>
    <t>Voiture</t>
  </si>
  <si>
    <t>Bénéfices par voiture</t>
  </si>
  <si>
    <t>Prix achat</t>
  </si>
  <si>
    <t>Prix vente</t>
  </si>
  <si>
    <t>Bénéfice pour 1 voiture vendue</t>
  </si>
  <si>
    <t>nb voiture vendue</t>
  </si>
  <si>
    <t>Bénéfice 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</si>
</sst>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/M/YYYY"/>
    <numFmt numFmtId="165" formatCode="#,##0.00\ &quot;€&quot;"/>
  </numFmts>
  <fonts count="23">
    <font>
      <sz val="11.0"/>
      <color theme="1"/>
      <name val="Calibri"/>
      <scheme val="minor"/>
    </font>
    <font>
      <b/>
      <sz val="11.0"/>
      <color rgb="FFFF0000"/>
      <name val="Calibri"/>
    </font>
    <font>
      <b/>
      <sz val="11.0"/>
      <color theme="0"/>
      <name val="Calibri"/>
    </font>
    <font>
      <sz val="11.0"/>
      <color theme="1"/>
      <name val="Calibri"/>
    </font>
    <font>
      <b/>
      <sz val="14.0"/>
      <color theme="0"/>
      <name val="Arial"/>
    </font>
    <font/>
    <font>
      <b/>
      <sz val="12.0"/>
      <color theme="1"/>
      <name val="Arial"/>
    </font>
    <font>
      <b/>
      <i/>
      <sz val="12.0"/>
      <color theme="1"/>
      <name val="Arial"/>
    </font>
    <font>
      <sz val="12.0"/>
      <color theme="1"/>
      <name val="Arial"/>
    </font>
    <font>
      <sz val="10.0"/>
      <color rgb="FFBFBFBF"/>
      <name val="Arial"/>
    </font>
    <font>
      <b/>
      <sz val="10.0"/>
      <color theme="1"/>
      <name val="Arial"/>
    </font>
    <font>
      <sz val="10.0"/>
      <color theme="1"/>
      <name val="Arial"/>
    </font>
    <font>
      <b/>
      <sz val="16.0"/>
      <color theme="1"/>
      <name val="Arial"/>
    </font>
    <font>
      <sz val="16.0"/>
      <color theme="1"/>
      <name val="Arial"/>
    </font>
    <font>
      <b/>
      <i/>
      <sz val="9.0"/>
      <color theme="1"/>
      <name val="Arial"/>
    </font>
    <font>
      <b/>
      <i/>
      <sz val="10.0"/>
      <color theme="0"/>
      <name val="Arial"/>
    </font>
    <font>
      <sz val="9.0"/>
      <color rgb="FF99CC00"/>
      <name val="Comic Sans MS"/>
    </font>
    <font>
      <b/>
      <sz val="26.0"/>
      <color theme="0"/>
      <name val="Algerian"/>
    </font>
    <font>
      <color theme="1"/>
      <name val="Calibri"/>
      <scheme val="minor"/>
    </font>
    <font>
      <i/>
      <sz val="11.0"/>
      <color theme="1"/>
      <name val="Calibri"/>
    </font>
    <font>
      <b/>
      <sz val="11.0"/>
      <color theme="1"/>
      <name val="Calibri"/>
    </font>
    <font>
      <sz val="11.0"/>
      <color theme="0"/>
      <name val="Calibri"/>
    </font>
    <font>
      <b/>
      <sz val="11.0"/>
      <color rgb="FFFFFFFF"/>
      <name val="Calibri"/>
    </font>
  </fonts>
  <fills count="18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theme="4"/>
        <bgColor theme="4"/>
      </patternFill>
    </fill>
    <fill>
      <patternFill patternType="solid">
        <fgColor rgb="FFDBE5F1"/>
        <bgColor rgb="FFDBE5F1"/>
      </patternFill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008000"/>
        <bgColor rgb="FF008000"/>
      </patternFill>
    </fill>
    <fill>
      <patternFill patternType="solid">
        <fgColor rgb="FF76923C"/>
        <bgColor rgb="FF76923C"/>
      </patternFill>
    </fill>
    <fill>
      <patternFill patternType="solid">
        <fgColor rgb="FFD6E3BC"/>
        <bgColor rgb="FFD6E3BC"/>
      </patternFill>
    </fill>
    <fill>
      <patternFill patternType="solid">
        <fgColor rgb="FF95B3D7"/>
        <bgColor rgb="FF95B3D7"/>
      </patternFill>
    </fill>
    <fill>
      <patternFill patternType="solid">
        <fgColor rgb="FFE36C09"/>
        <bgColor rgb="FFE36C09"/>
      </patternFill>
    </fill>
    <fill>
      <patternFill patternType="solid">
        <fgColor rgb="FFFBD4B4"/>
        <bgColor rgb="FFFBD4B4"/>
      </patternFill>
    </fill>
    <fill>
      <patternFill patternType="solid">
        <fgColor rgb="FF17365D"/>
        <bgColor rgb="FF17365D"/>
      </patternFill>
    </fill>
    <fill>
      <patternFill patternType="solid">
        <fgColor rgb="FF548DD4"/>
        <bgColor rgb="FF548DD4"/>
      </patternFill>
    </fill>
    <fill>
      <patternFill patternType="solid">
        <fgColor rgb="FF003366"/>
        <bgColor rgb="FF003366"/>
      </patternFill>
    </fill>
    <fill>
      <patternFill patternType="solid">
        <fgColor rgb="FF800080"/>
        <bgColor rgb="FF800080"/>
      </patternFill>
    </fill>
    <fill>
      <patternFill patternType="solid">
        <fgColor rgb="FF8DB3E2"/>
        <bgColor rgb="FF8DB3E2"/>
      </patternFill>
    </fill>
  </fills>
  <borders count="62">
    <border/>
    <border>
      <left/>
      <right/>
      <top/>
      <bottom/>
    </border>
    <border>
      <left style="thin">
        <color rgb="FF95B3D7"/>
      </left>
      <right/>
      <top style="thin">
        <color rgb="FF95B3D7"/>
      </top>
      <bottom style="thin">
        <color rgb="FF95B3D7"/>
      </bottom>
    </border>
    <border>
      <left/>
      <right/>
      <top style="thin">
        <color rgb="FF95B3D7"/>
      </top>
      <bottom style="thin">
        <color rgb="FF95B3D7"/>
      </bottom>
    </border>
    <border>
      <left/>
      <right style="thin">
        <color rgb="FF95B3D7"/>
      </right>
      <top style="thin">
        <color rgb="FF95B3D7"/>
      </top>
      <bottom style="thin">
        <color rgb="FF95B3D7"/>
      </bottom>
    </border>
    <border>
      <left style="thin">
        <color rgb="FF95B3D7"/>
      </left>
      <right/>
      <top/>
      <bottom style="thin">
        <color rgb="FF95B3D7"/>
      </bottom>
    </border>
    <border>
      <left/>
      <right/>
      <top/>
      <bottom style="thin">
        <color rgb="FF95B3D7"/>
      </bottom>
    </border>
    <border>
      <left/>
      <right style="thin">
        <color rgb="FF95B3D7"/>
      </right>
      <top/>
      <bottom style="thin">
        <color rgb="FF95B3D7"/>
      </bottom>
    </border>
    <border>
      <left style="thin">
        <color rgb="FF95B3D7"/>
      </left>
      <bottom style="thin">
        <color rgb="FF95B3D7"/>
      </bottom>
    </border>
    <border>
      <bottom style="thin">
        <color rgb="FF95B3D7"/>
      </bottom>
    </border>
    <border>
      <right style="thin">
        <color rgb="FF95B3D7"/>
      </right>
      <bottom style="thin">
        <color rgb="FF95B3D7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left/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</border>
    <border>
      <left/>
      <right style="medium">
        <color rgb="FF000000"/>
      </right>
      <top/>
      <bottom/>
    </border>
    <border>
      <right style="medium">
        <color rgb="FF000000"/>
      </right>
    </border>
    <border>
      <left/>
      <top/>
      <bottom/>
    </border>
    <border>
      <top/>
      <bottom/>
    </border>
    <border>
      <right style="medium">
        <color rgb="FF000000"/>
      </right>
      <top/>
      <bottom/>
    </border>
    <border>
      <left style="medium">
        <color rgb="FF000000"/>
      </left>
      <right/>
      <top/>
      <bottom/>
    </border>
    <border>
      <left/>
      <top/>
      <bottom style="medium">
        <color rgb="FF000000"/>
      </bottom>
    </border>
    <border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/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medium">
        <color rgb="FF000000"/>
      </right>
      <top/>
      <bottom/>
    </border>
    <border>
      <left style="medium">
        <color rgb="FF000000"/>
      </left>
      <top/>
      <bottom style="medium">
        <color rgb="FF000000"/>
      </bottom>
    </border>
    <border>
      <right/>
      <top/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000000"/>
      </right>
      <top/>
      <bottom/>
    </border>
  </borders>
  <cellStyleXfs count="1">
    <xf borderId="0" fillId="0" fontId="0" numFmtId="0" applyAlignment="1" applyFont="1"/>
  </cellStyleXfs>
  <cellXfs count="16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vertical="bottom" wrapText="0"/>
    </xf>
    <xf borderId="2" fillId="3" fontId="2" numFmtId="0" xfId="0" applyAlignment="1" applyBorder="1" applyFill="1" applyFont="1">
      <alignment shrinkToFit="0" vertical="bottom" wrapText="0"/>
    </xf>
    <xf borderId="3" fillId="3" fontId="2" numFmtId="0" xfId="0" applyAlignment="1" applyBorder="1" applyFont="1">
      <alignment shrinkToFit="0" vertical="bottom" wrapText="0"/>
    </xf>
    <xf borderId="4" fillId="3" fontId="2" numFmtId="0" xfId="0" applyAlignment="1" applyBorder="1" applyFont="1">
      <alignment shrinkToFit="0" vertical="bottom" wrapText="0"/>
    </xf>
    <xf borderId="5" fillId="4" fontId="3" numFmtId="0" xfId="0" applyAlignment="1" applyBorder="1" applyFill="1" applyFont="1">
      <alignment shrinkToFit="0" vertical="bottom" wrapText="0"/>
    </xf>
    <xf borderId="6" fillId="4" fontId="3" numFmtId="0" xfId="0" applyAlignment="1" applyBorder="1" applyFont="1">
      <alignment shrinkToFit="0" vertical="bottom" wrapText="0"/>
    </xf>
    <xf borderId="6" fillId="4" fontId="3" numFmtId="164" xfId="0" applyAlignment="1" applyBorder="1" applyFont="1" applyNumberFormat="1">
      <alignment readingOrder="0" shrinkToFit="0" vertical="bottom" wrapText="0"/>
    </xf>
    <xf borderId="6" fillId="4" fontId="3" numFmtId="164" xfId="0" applyAlignment="1" applyBorder="1" applyFont="1" applyNumberFormat="1">
      <alignment shrinkToFit="0" vertical="bottom" wrapText="0"/>
    </xf>
    <xf borderId="7" fillId="4" fontId="3" numFmtId="0" xfId="0" applyAlignment="1" applyBorder="1" applyFont="1">
      <alignment shrinkToFit="0" vertical="bottom" wrapText="0"/>
    </xf>
    <xf borderId="8" fillId="0" fontId="3" numFmtId="0" xfId="0" applyAlignment="1" applyBorder="1" applyFont="1">
      <alignment shrinkToFit="0" vertical="bottom" wrapText="0"/>
    </xf>
    <xf borderId="9" fillId="0" fontId="3" numFmtId="0" xfId="0" applyAlignment="1" applyBorder="1" applyFont="1">
      <alignment shrinkToFit="0" vertical="bottom" wrapText="0"/>
    </xf>
    <xf borderId="9" fillId="0" fontId="3" numFmtId="164" xfId="0" applyAlignment="1" applyBorder="1" applyFont="1" applyNumberFormat="1">
      <alignment shrinkToFit="0" vertical="bottom" wrapText="0"/>
    </xf>
    <xf borderId="10" fillId="0" fontId="3" numFmtId="0" xfId="0" applyAlignment="1" applyBorder="1" applyFont="1">
      <alignment shrinkToFit="0" vertical="bottom" wrapText="0"/>
    </xf>
    <xf borderId="1" fillId="2" fontId="3" numFmtId="0" xfId="0" applyAlignment="1" applyBorder="1" applyFont="1">
      <alignment shrinkToFit="0" vertical="bottom" wrapText="0"/>
    </xf>
    <xf borderId="5" fillId="4" fontId="3" numFmtId="0" xfId="0" applyAlignment="1" applyBorder="1" applyFont="1">
      <alignment shrinkToFit="0" vertical="bottom" wrapText="1"/>
    </xf>
    <xf borderId="7" fillId="4" fontId="3" numFmtId="1" xfId="0" applyAlignment="1" applyBorder="1" applyFont="1" applyNumberFormat="1">
      <alignment shrinkToFit="0" vertical="bottom" wrapText="0"/>
    </xf>
    <xf borderId="11" fillId="5" fontId="4" numFmtId="0" xfId="0" applyAlignment="1" applyBorder="1" applyFill="1" applyFont="1">
      <alignment horizontal="center" shrinkToFit="0" vertical="bottom" wrapText="0"/>
    </xf>
    <xf borderId="12" fillId="0" fontId="5" numFmtId="0" xfId="0" applyBorder="1" applyFont="1"/>
    <xf borderId="13" fillId="0" fontId="5" numFmtId="0" xfId="0" applyBorder="1" applyFont="1"/>
    <xf borderId="11" fillId="6" fontId="6" numFmtId="0" xfId="0" applyAlignment="1" applyBorder="1" applyFill="1" applyFont="1">
      <alignment horizontal="left" readingOrder="0" shrinkToFit="0" vertical="bottom" wrapText="0"/>
    </xf>
    <xf borderId="11" fillId="6" fontId="6" numFmtId="0" xfId="0" applyAlignment="1" applyBorder="1" applyFont="1">
      <alignment horizontal="left" shrinkToFit="0" vertical="bottom" wrapText="0"/>
    </xf>
    <xf borderId="14" fillId="0" fontId="7" numFmtId="0" xfId="0" applyAlignment="1" applyBorder="1" applyFont="1">
      <alignment horizontal="left" readingOrder="0" shrinkToFit="0" vertical="bottom" wrapText="0"/>
    </xf>
    <xf borderId="15" fillId="0" fontId="5" numFmtId="0" xfId="0" applyBorder="1" applyFont="1"/>
    <xf borderId="16" fillId="7" fontId="6" numFmtId="0" xfId="0" applyAlignment="1" applyBorder="1" applyFill="1" applyFont="1">
      <alignment horizontal="left" shrinkToFit="0" vertical="bottom" wrapText="0"/>
    </xf>
    <xf borderId="17" fillId="0" fontId="5" numFmtId="0" xfId="0" applyBorder="1" applyFont="1"/>
    <xf borderId="18" fillId="0" fontId="5" numFmtId="0" xfId="0" applyBorder="1" applyFont="1"/>
    <xf borderId="14" fillId="0" fontId="7" numFmtId="0" xfId="0" applyAlignment="1" applyBorder="1" applyFont="1">
      <alignment horizontal="left" shrinkToFit="0" vertical="bottom" wrapText="0"/>
    </xf>
    <xf borderId="16" fillId="2" fontId="8" numFmtId="0" xfId="0" applyAlignment="1" applyBorder="1" applyFont="1">
      <alignment horizontal="center" shrinkToFit="0" vertical="bottom" wrapText="0"/>
    </xf>
    <xf borderId="19" fillId="0" fontId="7" numFmtId="0" xfId="0" applyAlignment="1" applyBorder="1" applyFont="1">
      <alignment horizontal="left" shrinkToFit="0" vertical="bottom" wrapText="0"/>
    </xf>
    <xf borderId="0" fillId="0" fontId="7" numFmtId="0" xfId="0" applyAlignment="1" applyFont="1">
      <alignment horizontal="left" shrinkToFit="0" vertical="bottom" wrapText="0"/>
    </xf>
    <xf borderId="1" fillId="7" fontId="6" numFmtId="0" xfId="0" applyAlignment="1" applyBorder="1" applyFont="1">
      <alignment horizontal="left" shrinkToFit="0" vertical="bottom" wrapText="0"/>
    </xf>
    <xf borderId="1" fillId="7" fontId="6" numFmtId="0" xfId="0" applyAlignment="1" applyBorder="1" applyFont="1">
      <alignment horizontal="center" shrinkToFit="0" vertical="bottom" wrapText="0"/>
    </xf>
    <xf borderId="20" fillId="7" fontId="6" numFmtId="0" xfId="0" applyAlignment="1" applyBorder="1" applyFont="1">
      <alignment horizontal="center" shrinkToFit="0" vertical="bottom" wrapText="0"/>
    </xf>
    <xf borderId="0" fillId="0" fontId="8" numFmtId="0" xfId="0" applyAlignment="1" applyFont="1">
      <alignment horizontal="center" shrinkToFit="0" vertical="bottom" wrapText="0"/>
    </xf>
    <xf borderId="21" fillId="0" fontId="5" numFmtId="0" xfId="0" applyBorder="1" applyFont="1"/>
    <xf borderId="22" fillId="7" fontId="6" numFmtId="0" xfId="0" applyAlignment="1" applyBorder="1" applyFont="1">
      <alignment horizontal="left" shrinkToFit="0" vertical="bottom" wrapText="0"/>
    </xf>
    <xf borderId="23" fillId="0" fontId="5" numFmtId="0" xfId="0" applyBorder="1" applyFont="1"/>
    <xf borderId="24" fillId="0" fontId="5" numFmtId="0" xfId="0" applyBorder="1" applyFont="1"/>
    <xf borderId="22" fillId="7" fontId="8" numFmtId="164" xfId="0" applyAlignment="1" applyBorder="1" applyFont="1" applyNumberFormat="1">
      <alignment horizontal="center" shrinkToFit="0" vertical="bottom" wrapText="0"/>
    </xf>
    <xf borderId="22" fillId="7" fontId="6" numFmtId="1" xfId="0" applyAlignment="1" applyBorder="1" applyFont="1" applyNumberFormat="1">
      <alignment horizontal="left" shrinkToFit="0" vertical="bottom" wrapText="0"/>
    </xf>
    <xf borderId="25" fillId="5" fontId="3" numFmtId="0" xfId="0" applyAlignment="1" applyBorder="1" applyFont="1">
      <alignment shrinkToFit="0" vertical="bottom" wrapText="0"/>
    </xf>
    <xf borderId="1" fillId="5" fontId="3" numFmtId="0" xfId="0" applyAlignment="1" applyBorder="1" applyFont="1">
      <alignment shrinkToFit="0" vertical="bottom" wrapText="0"/>
    </xf>
    <xf borderId="20" fillId="5" fontId="3" numFmtId="0" xfId="0" applyAlignment="1" applyBorder="1" applyFont="1">
      <alignment shrinkToFit="0" vertical="bottom" wrapText="0"/>
    </xf>
    <xf borderId="26" fillId="5" fontId="3" numFmtId="0" xfId="0" applyAlignment="1" applyBorder="1" applyFont="1">
      <alignment horizontal="center" shrinkToFit="0" vertical="bottom" wrapText="0"/>
    </xf>
    <xf borderId="27" fillId="0" fontId="5" numFmtId="0" xfId="0" applyBorder="1" applyFont="1"/>
    <xf borderId="28" fillId="0" fontId="5" numFmtId="0" xfId="0" applyBorder="1" applyFont="1"/>
    <xf borderId="29" fillId="6" fontId="3" numFmtId="0" xfId="0" applyAlignment="1" applyBorder="1" applyFont="1">
      <alignment shrinkToFit="0" vertical="bottom" wrapText="0"/>
    </xf>
    <xf borderId="30" fillId="6" fontId="3" numFmtId="0" xfId="0" applyAlignment="1" applyBorder="1" applyFont="1">
      <alignment shrinkToFit="0" vertical="bottom" wrapText="0"/>
    </xf>
    <xf borderId="30" fillId="6" fontId="3" numFmtId="0" xfId="0" applyAlignment="1" applyBorder="1" applyFont="1">
      <alignment horizontal="center" shrinkToFit="0" vertical="bottom" wrapText="0"/>
    </xf>
    <xf borderId="31" fillId="6" fontId="3" numFmtId="0" xfId="0" applyAlignment="1" applyBorder="1" applyFont="1">
      <alignment horizontal="center" shrinkToFit="0" vertical="bottom" wrapText="0"/>
    </xf>
    <xf borderId="32" fillId="6" fontId="6" numFmtId="0" xfId="0" applyAlignment="1" applyBorder="1" applyFont="1">
      <alignment horizontal="left" shrinkToFit="0" vertical="bottom" wrapText="0"/>
    </xf>
    <xf borderId="33" fillId="0" fontId="5" numFmtId="0" xfId="0" applyBorder="1" applyFont="1"/>
    <xf borderId="34" fillId="7" fontId="6" numFmtId="165" xfId="0" applyAlignment="1" applyBorder="1" applyFont="1" applyNumberFormat="1">
      <alignment shrinkToFit="0" vertical="bottom" wrapText="0"/>
    </xf>
    <xf borderId="1" fillId="6" fontId="3" numFmtId="0" xfId="0" applyAlignment="1" applyBorder="1" applyFont="1">
      <alignment shrinkToFit="0" vertical="bottom" wrapText="0"/>
    </xf>
    <xf borderId="1" fillId="6" fontId="9" numFmtId="165" xfId="0" applyAlignment="1" applyBorder="1" applyFont="1" applyNumberFormat="1">
      <alignment shrinkToFit="0" vertical="bottom" wrapText="0"/>
    </xf>
    <xf borderId="20" fillId="6" fontId="3" numFmtId="0" xfId="0" applyAlignment="1" applyBorder="1" applyFont="1">
      <alignment shrinkToFit="0" vertical="bottom" wrapText="0"/>
    </xf>
    <xf borderId="35" fillId="6" fontId="10" numFmtId="0" xfId="0" applyAlignment="1" applyBorder="1" applyFont="1">
      <alignment horizontal="left" shrinkToFit="0" vertical="bottom" wrapText="0"/>
    </xf>
    <xf borderId="36" fillId="6" fontId="10" numFmtId="0" xfId="0" applyAlignment="1" applyBorder="1" applyFont="1">
      <alignment horizontal="left" shrinkToFit="0" vertical="bottom" wrapText="0"/>
    </xf>
    <xf borderId="36" fillId="6" fontId="3" numFmtId="165" xfId="0" applyAlignment="1" applyBorder="1" applyFont="1" applyNumberFormat="1">
      <alignment shrinkToFit="0" vertical="bottom" wrapText="0"/>
    </xf>
    <xf borderId="36" fillId="6" fontId="3" numFmtId="0" xfId="0" applyAlignment="1" applyBorder="1" applyFont="1">
      <alignment shrinkToFit="0" vertical="bottom" wrapText="0"/>
    </xf>
    <xf borderId="37" fillId="6" fontId="3" numFmtId="0" xfId="0" applyAlignment="1" applyBorder="1" applyFont="1">
      <alignment shrinkToFit="0" vertical="bottom" wrapText="0"/>
    </xf>
    <xf borderId="25" fillId="5" fontId="3" numFmtId="0" xfId="0" applyAlignment="1" applyBorder="1" applyFont="1">
      <alignment horizontal="left" shrinkToFit="0" vertical="bottom" wrapText="0"/>
    </xf>
    <xf borderId="1" fillId="5" fontId="3" numFmtId="0" xfId="0" applyAlignment="1" applyBorder="1" applyFont="1">
      <alignment horizontal="left" shrinkToFit="0" vertical="bottom" wrapText="0"/>
    </xf>
    <xf borderId="36" fillId="5" fontId="3" numFmtId="165" xfId="0" applyAlignment="1" applyBorder="1" applyFont="1" applyNumberFormat="1">
      <alignment shrinkToFit="0" vertical="bottom" wrapText="0"/>
    </xf>
    <xf borderId="19" fillId="0" fontId="3" numFmtId="0" xfId="0" applyAlignment="1" applyBorder="1" applyFont="1">
      <alignment horizontal="left" shrinkToFit="0" vertical="bottom" wrapText="0"/>
    </xf>
    <xf borderId="0" fillId="0" fontId="3" numFmtId="0" xfId="0" applyAlignment="1" applyFont="1">
      <alignment horizontal="left" shrinkToFit="0" vertical="bottom" wrapText="0"/>
    </xf>
    <xf borderId="38" fillId="0" fontId="3" numFmtId="165" xfId="0" applyAlignment="1" applyBorder="1" applyFont="1" applyNumberFormat="1">
      <alignment shrinkToFit="0" vertical="bottom" wrapText="0"/>
    </xf>
    <xf borderId="0" fillId="0" fontId="3" numFmtId="0" xfId="0" applyAlignment="1" applyFont="1">
      <alignment shrinkToFit="0" vertical="bottom" wrapText="0"/>
    </xf>
    <xf borderId="21" fillId="0" fontId="3" numFmtId="0" xfId="0" applyAlignment="1" applyBorder="1" applyFont="1">
      <alignment shrinkToFit="0" vertical="bottom" wrapText="0"/>
    </xf>
    <xf borderId="14" fillId="6" fontId="6" numFmtId="0" xfId="0" applyAlignment="1" applyBorder="1" applyFont="1">
      <alignment horizontal="center" shrinkToFit="0" vertical="center" wrapText="0"/>
    </xf>
    <xf borderId="39" fillId="0" fontId="5" numFmtId="0" xfId="0" applyBorder="1" applyFont="1"/>
    <xf borderId="11" fillId="6" fontId="10" numFmtId="0" xfId="0" applyAlignment="1" applyBorder="1" applyFont="1">
      <alignment horizontal="center" shrinkToFit="0" vertical="bottom" wrapText="0"/>
    </xf>
    <xf borderId="40" fillId="0" fontId="5" numFmtId="0" xfId="0" applyBorder="1" applyFont="1"/>
    <xf borderId="38" fillId="0" fontId="5" numFmtId="0" xfId="0" applyBorder="1" applyFont="1"/>
    <xf borderId="41" fillId="0" fontId="5" numFmtId="0" xfId="0" applyBorder="1" applyFont="1"/>
    <xf borderId="42" fillId="0" fontId="10" numFmtId="0" xfId="0" applyAlignment="1" applyBorder="1" applyFont="1">
      <alignment shrinkToFit="0" vertical="bottom" wrapText="0"/>
    </xf>
    <xf borderId="13" fillId="0" fontId="10" numFmtId="0" xfId="0" applyAlignment="1" applyBorder="1" applyFont="1">
      <alignment shrinkToFit="0" vertical="bottom" wrapText="0"/>
    </xf>
    <xf borderId="41" fillId="0" fontId="10" numFmtId="0" xfId="0" applyAlignment="1" applyBorder="1" applyFont="1">
      <alignment shrinkToFit="0" vertical="bottom" wrapText="0"/>
    </xf>
    <xf borderId="43" fillId="6" fontId="11" numFmtId="0" xfId="0" applyAlignment="1" applyBorder="1" applyFont="1">
      <alignment horizontal="left" shrinkToFit="0" vertical="bottom" wrapText="0"/>
    </xf>
    <xf borderId="44" fillId="0" fontId="3" numFmtId="165" xfId="0" applyAlignment="1" applyBorder="1" applyFont="1" applyNumberFormat="1">
      <alignment shrinkToFit="0" vertical="bottom" wrapText="0"/>
    </xf>
    <xf borderId="44" fillId="0" fontId="3" numFmtId="10" xfId="0" applyAlignment="1" applyBorder="1" applyFont="1" applyNumberFormat="1">
      <alignment shrinkToFit="0" vertical="bottom" wrapText="0"/>
    </xf>
    <xf borderId="1" fillId="6" fontId="3" numFmtId="165" xfId="0" applyAlignment="1" applyBorder="1" applyFont="1" applyNumberFormat="1">
      <alignment shrinkToFit="0" vertical="bottom" wrapText="0"/>
    </xf>
    <xf borderId="32" fillId="6" fontId="11" numFmtId="0" xfId="0" applyAlignment="1" applyBorder="1" applyFont="1">
      <alignment horizontal="left" shrinkToFit="0" vertical="bottom" wrapText="0"/>
    </xf>
    <xf borderId="45" fillId="0" fontId="3" numFmtId="165" xfId="0" applyAlignment="1" applyBorder="1" applyFont="1" applyNumberFormat="1">
      <alignment shrinkToFit="0" vertical="bottom" wrapText="0"/>
    </xf>
    <xf borderId="45" fillId="0" fontId="3" numFmtId="10" xfId="0" applyAlignment="1" applyBorder="1" applyFont="1" applyNumberFormat="1">
      <alignment shrinkToFit="0" vertical="bottom" wrapText="0"/>
    </xf>
    <xf borderId="32" fillId="6" fontId="10" numFmtId="0" xfId="0" applyAlignment="1" applyBorder="1" applyFont="1">
      <alignment horizontal="left" shrinkToFit="0" vertical="bottom" wrapText="0"/>
    </xf>
    <xf borderId="32" fillId="6" fontId="3" numFmtId="0" xfId="0" applyAlignment="1" applyBorder="1" applyFont="1">
      <alignment horizontal="left" shrinkToFit="0" vertical="bottom" wrapText="0"/>
    </xf>
    <xf borderId="20" fillId="6" fontId="3" numFmtId="165" xfId="0" applyAlignment="1" applyBorder="1" applyFont="1" applyNumberFormat="1">
      <alignment shrinkToFit="0" vertical="bottom" wrapText="0"/>
    </xf>
    <xf borderId="45" fillId="0" fontId="3" numFmtId="0" xfId="0" applyAlignment="1" applyBorder="1" applyFont="1">
      <alignment shrinkToFit="0" vertical="bottom" wrapText="0"/>
    </xf>
    <xf borderId="45" fillId="0" fontId="11" numFmtId="165" xfId="0" applyAlignment="1" applyBorder="1" applyFont="1" applyNumberFormat="1">
      <alignment shrinkToFit="0" vertical="bottom" wrapText="0"/>
    </xf>
    <xf borderId="0" fillId="0" fontId="3" numFmtId="10" xfId="0" applyAlignment="1" applyFont="1" applyNumberFormat="1">
      <alignment shrinkToFit="0" vertical="bottom" wrapText="0"/>
    </xf>
    <xf borderId="46" fillId="6" fontId="3" numFmtId="165" xfId="0" applyAlignment="1" applyBorder="1" applyFont="1" applyNumberFormat="1">
      <alignment shrinkToFit="0" vertical="bottom" wrapText="0"/>
    </xf>
    <xf borderId="47" fillId="6" fontId="3" numFmtId="0" xfId="0" applyAlignment="1" applyBorder="1" applyFont="1">
      <alignment horizontal="left" shrinkToFit="0" vertical="bottom" wrapText="0"/>
    </xf>
    <xf borderId="48" fillId="0" fontId="5" numFmtId="0" xfId="0" applyBorder="1" applyFont="1"/>
    <xf borderId="49" fillId="0" fontId="3" numFmtId="165" xfId="0" applyAlignment="1" applyBorder="1" applyFont="1" applyNumberFormat="1">
      <alignment shrinkToFit="0" vertical="bottom" wrapText="0"/>
    </xf>
    <xf borderId="49" fillId="0" fontId="3" numFmtId="10" xfId="0" applyAlignment="1" applyBorder="1" applyFont="1" applyNumberFormat="1">
      <alignment shrinkToFit="0" vertical="bottom" wrapText="0"/>
    </xf>
    <xf borderId="50" fillId="6" fontId="6" numFmtId="165" xfId="0" applyAlignment="1" applyBorder="1" applyFont="1" applyNumberFormat="1">
      <alignment shrinkToFit="0" vertical="bottom" wrapText="0"/>
    </xf>
    <xf borderId="42" fillId="6" fontId="6" numFmtId="165" xfId="0" applyAlignment="1" applyBorder="1" applyFont="1" applyNumberFormat="1">
      <alignment shrinkToFit="0" vertical="bottom" wrapText="0"/>
    </xf>
    <xf borderId="11" fillId="5" fontId="3" numFmtId="0" xfId="0" applyAlignment="1" applyBorder="1" applyFont="1">
      <alignment horizontal="left" shrinkToFit="0" vertical="bottom" wrapText="0"/>
    </xf>
    <xf borderId="51" fillId="0" fontId="5" numFmtId="0" xfId="0" applyBorder="1" applyFont="1"/>
    <xf borderId="52" fillId="5" fontId="3" numFmtId="0" xfId="0" applyAlignment="1" applyBorder="1" applyFont="1">
      <alignment shrinkToFit="0" vertical="bottom" wrapText="0"/>
    </xf>
    <xf borderId="53" fillId="5" fontId="3" numFmtId="0" xfId="0" applyAlignment="1" applyBorder="1" applyFont="1">
      <alignment shrinkToFit="0" vertical="bottom" wrapText="0"/>
    </xf>
    <xf borderId="19" fillId="0" fontId="12" numFmtId="0" xfId="0" applyAlignment="1" applyBorder="1" applyFont="1">
      <alignment horizontal="left" shrinkToFit="0" vertical="bottom" wrapText="0"/>
    </xf>
    <xf borderId="0" fillId="0" fontId="12" numFmtId="0" xfId="0" applyAlignment="1" applyFont="1">
      <alignment horizontal="left" shrinkToFit="0" vertical="bottom" wrapText="0"/>
    </xf>
    <xf borderId="54" fillId="6" fontId="12" numFmtId="0" xfId="0" applyAlignment="1" applyBorder="1" applyFont="1">
      <alignment horizontal="left" shrinkToFit="0" vertical="bottom" wrapText="0"/>
    </xf>
    <xf borderId="52" fillId="6" fontId="3" numFmtId="0" xfId="0" applyAlignment="1" applyBorder="1" applyFont="1">
      <alignment shrinkToFit="0" vertical="bottom" wrapText="0"/>
    </xf>
    <xf borderId="53" fillId="6" fontId="13" numFmtId="165" xfId="0" applyAlignment="1" applyBorder="1" applyFont="1" applyNumberFormat="1">
      <alignment shrinkToFit="0" vertical="bottom" wrapText="0"/>
    </xf>
    <xf borderId="21" fillId="0" fontId="13" numFmtId="165" xfId="0" applyAlignment="1" applyBorder="1" applyFont="1" applyNumberFormat="1">
      <alignment shrinkToFit="0" vertical="bottom" wrapText="0"/>
    </xf>
    <xf borderId="19" fillId="0" fontId="14" numFmtId="0" xfId="0" applyAlignment="1" applyBorder="1" applyFont="1">
      <alignment horizontal="left" shrinkToFit="0" vertical="bottom" wrapText="0"/>
    </xf>
    <xf borderId="1" fillId="6" fontId="6" numFmtId="0" xfId="0" applyAlignment="1" applyBorder="1" applyFont="1">
      <alignment horizontal="left" shrinkToFit="0" vertical="bottom" wrapText="0"/>
    </xf>
    <xf borderId="1" fillId="6" fontId="8" numFmtId="0" xfId="0" applyAlignment="1" applyBorder="1" applyFont="1">
      <alignment shrinkToFit="0" vertical="bottom" wrapText="0"/>
    </xf>
    <xf borderId="20" fillId="6" fontId="6" numFmtId="165" xfId="0" applyAlignment="1" applyBorder="1" applyFont="1" applyNumberFormat="1">
      <alignment shrinkToFit="0" vertical="bottom" wrapText="0"/>
    </xf>
    <xf borderId="0" fillId="0" fontId="13" numFmtId="165" xfId="0" applyAlignment="1" applyFont="1" applyNumberFormat="1">
      <alignment shrinkToFit="0" vertical="bottom" wrapText="0"/>
    </xf>
    <xf borderId="11" fillId="5" fontId="15" numFmtId="0" xfId="0" applyAlignment="1" applyBorder="1" applyFont="1">
      <alignment horizontal="center" shrinkToFit="0" vertical="bottom" wrapText="0"/>
    </xf>
    <xf borderId="0" fillId="0" fontId="16" numFmtId="0" xfId="0" applyAlignment="1" applyFont="1">
      <alignment horizontal="center" shrinkToFit="0" vertical="bottom" wrapText="0"/>
    </xf>
    <xf borderId="55" fillId="8" fontId="17" numFmtId="0" xfId="0" applyAlignment="1" applyBorder="1" applyFill="1" applyFont="1">
      <alignment horizontal="center" shrinkToFit="0" vertical="center" wrapText="0"/>
    </xf>
    <xf borderId="56" fillId="0" fontId="5" numFmtId="0" xfId="0" applyBorder="1" applyFont="1"/>
    <xf borderId="57" fillId="0" fontId="5" numFmtId="0" xfId="0" applyBorder="1" applyFont="1"/>
    <xf borderId="0" fillId="0" fontId="18" numFmtId="0" xfId="0" applyFont="1"/>
    <xf borderId="29" fillId="9" fontId="3" numFmtId="0" xfId="0" applyAlignment="1" applyBorder="1" applyFill="1" applyFont="1">
      <alignment shrinkToFit="0" vertical="bottom" wrapText="0"/>
    </xf>
    <xf borderId="30" fillId="9" fontId="3" numFmtId="0" xfId="0" applyAlignment="1" applyBorder="1" applyFont="1">
      <alignment shrinkToFit="0" vertical="bottom" wrapText="0"/>
    </xf>
    <xf borderId="31" fillId="9" fontId="3" numFmtId="0" xfId="0" applyAlignment="1" applyBorder="1" applyFont="1">
      <alignment readingOrder="0" shrinkToFit="0" vertical="bottom" wrapText="0"/>
    </xf>
    <xf borderId="25" fillId="9" fontId="3" numFmtId="0" xfId="0" applyAlignment="1" applyBorder="1" applyFont="1">
      <alignment shrinkToFit="0" vertical="bottom" wrapText="0"/>
    </xf>
    <xf borderId="1" fillId="9" fontId="3" numFmtId="0" xfId="0" applyAlignment="1" applyBorder="1" applyFont="1">
      <alignment shrinkToFit="0" vertical="bottom" wrapText="0"/>
    </xf>
    <xf borderId="20" fillId="9" fontId="3" numFmtId="0" xfId="0" applyAlignment="1" applyBorder="1" applyFont="1">
      <alignment readingOrder="0" shrinkToFit="0" vertical="bottom" wrapText="0"/>
    </xf>
    <xf borderId="35" fillId="9" fontId="3" numFmtId="0" xfId="0" applyAlignment="1" applyBorder="1" applyFont="1">
      <alignment shrinkToFit="0" vertical="bottom" wrapText="0"/>
    </xf>
    <xf borderId="36" fillId="9" fontId="3" numFmtId="0" xfId="0" applyAlignment="1" applyBorder="1" applyFont="1">
      <alignment shrinkToFit="0" vertical="bottom" wrapText="0"/>
    </xf>
    <xf borderId="37" fillId="9" fontId="3" numFmtId="0" xfId="0" applyAlignment="1" applyBorder="1" applyFont="1">
      <alignment readingOrder="0" shrinkToFit="0" vertical="bottom" wrapText="0"/>
    </xf>
    <xf borderId="0" fillId="0" fontId="19" numFmtId="0" xfId="0" applyAlignment="1" applyFont="1">
      <alignment shrinkToFit="0" vertical="bottom" wrapText="0"/>
    </xf>
    <xf borderId="34" fillId="8" fontId="2" numFmtId="0" xfId="0" applyAlignment="1" applyBorder="1" applyFont="1">
      <alignment horizontal="center" shrinkToFit="0" vertical="center" wrapText="0"/>
    </xf>
    <xf borderId="34" fillId="0" fontId="3" numFmtId="164" xfId="0" applyAlignment="1" applyBorder="1" applyFont="1" applyNumberFormat="1">
      <alignment shrinkToFit="0" vertical="bottom" wrapText="0"/>
    </xf>
    <xf borderId="34" fillId="0" fontId="3" numFmtId="0" xfId="0" applyAlignment="1" applyBorder="1" applyFont="1">
      <alignment shrinkToFit="0" vertical="bottom" wrapText="0"/>
    </xf>
    <xf borderId="34" fillId="10" fontId="3" numFmtId="0" xfId="0" applyAlignment="1" applyBorder="1" applyFill="1" applyFont="1">
      <alignment shrinkToFit="0" vertical="bottom" wrapText="0"/>
    </xf>
    <xf borderId="34" fillId="10" fontId="3" numFmtId="0" xfId="0" applyAlignment="1" applyBorder="1" applyFont="1">
      <alignment readingOrder="0" shrinkToFit="0" vertical="bottom" wrapText="0"/>
    </xf>
    <xf borderId="1" fillId="10" fontId="3" numFmtId="165" xfId="0" applyAlignment="1" applyBorder="1" applyFont="1" applyNumberFormat="1">
      <alignment shrinkToFit="0" vertical="bottom" wrapText="0"/>
    </xf>
    <xf borderId="11" fillId="11" fontId="17" numFmtId="0" xfId="0" applyAlignment="1" applyBorder="1" applyFill="1" applyFont="1">
      <alignment horizontal="center" shrinkToFit="0" vertical="center" wrapText="0"/>
    </xf>
    <xf borderId="19" fillId="0" fontId="17" numFmtId="0" xfId="0" applyAlignment="1" applyBorder="1" applyFont="1">
      <alignment shrinkToFit="0" vertical="center" wrapText="0"/>
    </xf>
    <xf borderId="29" fillId="12" fontId="3" numFmtId="0" xfId="0" applyAlignment="1" applyBorder="1" applyFill="1" applyFont="1">
      <alignment shrinkToFit="0" vertical="bottom" wrapText="0"/>
    </xf>
    <xf borderId="30" fillId="12" fontId="3" numFmtId="0" xfId="0" applyAlignment="1" applyBorder="1" applyFont="1">
      <alignment shrinkToFit="0" vertical="bottom" wrapText="0"/>
    </xf>
    <xf borderId="31" fillId="12" fontId="3" numFmtId="0" xfId="0" applyAlignment="1" applyBorder="1" applyFont="1">
      <alignment shrinkToFit="0" vertical="bottom" wrapText="0"/>
    </xf>
    <xf borderId="35" fillId="12" fontId="3" numFmtId="0" xfId="0" applyAlignment="1" applyBorder="1" applyFont="1">
      <alignment shrinkToFit="0" vertical="bottom" wrapText="0"/>
    </xf>
    <xf borderId="36" fillId="12" fontId="3" numFmtId="0" xfId="0" applyAlignment="1" applyBorder="1" applyFont="1">
      <alignment shrinkToFit="0" vertical="bottom" wrapText="0"/>
    </xf>
    <xf borderId="37" fillId="12" fontId="3" numFmtId="0" xfId="0" applyAlignment="1" applyBorder="1" applyFont="1">
      <alignment shrinkToFit="0" vertical="bottom" wrapText="0"/>
    </xf>
    <xf borderId="34" fillId="11" fontId="2" numFmtId="0" xfId="0" applyAlignment="1" applyBorder="1" applyFont="1">
      <alignment horizontal="center" shrinkToFit="0" vertical="center" wrapText="0"/>
    </xf>
    <xf borderId="11" fillId="13" fontId="17" numFmtId="0" xfId="0" applyAlignment="1" applyBorder="1" applyFill="1" applyFont="1">
      <alignment horizontal="center" shrinkToFit="0" vertical="center" wrapText="0"/>
    </xf>
    <xf borderId="34" fillId="13" fontId="2" numFmtId="0" xfId="0" applyAlignment="1" applyBorder="1" applyFont="1">
      <alignment horizontal="center" shrinkToFit="0" vertical="center" wrapText="0"/>
    </xf>
    <xf borderId="34" fillId="13" fontId="2" numFmtId="0" xfId="0" applyAlignment="1" applyBorder="1" applyFont="1">
      <alignment horizontal="center" shrinkToFit="0" vertical="center" wrapText="1"/>
    </xf>
    <xf borderId="34" fillId="0" fontId="3" numFmtId="0" xfId="0" applyAlignment="1" applyBorder="1" applyFont="1">
      <alignment shrinkToFit="0" vertical="center" wrapText="0"/>
    </xf>
    <xf borderId="34" fillId="14" fontId="3" numFmtId="165" xfId="0" applyAlignment="1" applyBorder="1" applyFill="1" applyFont="1" applyNumberFormat="1">
      <alignment shrinkToFit="0" vertical="center" wrapText="0"/>
    </xf>
    <xf borderId="34" fillId="0" fontId="3" numFmtId="0" xfId="0" applyAlignment="1" applyBorder="1" applyFont="1">
      <alignment readingOrder="0" shrinkToFit="0" vertical="center" wrapText="0"/>
    </xf>
    <xf borderId="0" fillId="0" fontId="3" numFmtId="165" xfId="0" applyAlignment="1" applyFont="1" applyNumberFormat="1">
      <alignment shrinkToFit="0" vertical="bottom" wrapText="0"/>
    </xf>
    <xf borderId="0" fillId="0" fontId="20" numFmtId="0" xfId="0" applyAlignment="1" applyFont="1">
      <alignment shrinkToFit="0" vertical="bottom" wrapText="0"/>
    </xf>
    <xf borderId="1" fillId="15" fontId="21" numFmtId="0" xfId="0" applyAlignment="1" applyBorder="1" applyFill="1" applyFont="1">
      <alignment shrinkToFit="0" vertical="bottom" wrapText="0"/>
    </xf>
    <xf borderId="34" fillId="0" fontId="3" numFmtId="165" xfId="0" applyAlignment="1" applyBorder="1" applyFont="1" applyNumberFormat="1">
      <alignment shrinkToFit="0" vertical="bottom" wrapText="0"/>
    </xf>
    <xf borderId="34" fillId="3" fontId="3" numFmtId="165" xfId="0" applyAlignment="1" applyBorder="1" applyFont="1" applyNumberFormat="1">
      <alignment shrinkToFit="0" vertical="bottom" wrapText="0"/>
    </xf>
    <xf borderId="58" fillId="0" fontId="3" numFmtId="165" xfId="0" applyAlignment="1" applyBorder="1" applyFont="1" applyNumberFormat="1">
      <alignment shrinkToFit="0" vertical="bottom" wrapText="0"/>
    </xf>
    <xf borderId="59" fillId="0" fontId="3" numFmtId="165" xfId="0" applyAlignment="1" applyBorder="1" applyFont="1" applyNumberFormat="1">
      <alignment shrinkToFit="0" vertical="bottom" wrapText="0"/>
    </xf>
    <xf borderId="60" fillId="0" fontId="3" numFmtId="165" xfId="0" applyAlignment="1" applyBorder="1" applyFont="1" applyNumberFormat="1">
      <alignment shrinkToFit="0" vertical="bottom" wrapText="0"/>
    </xf>
    <xf borderId="1" fillId="3" fontId="20" numFmtId="165" xfId="0" applyAlignment="1" applyBorder="1" applyFont="1" applyNumberFormat="1">
      <alignment shrinkToFit="0" vertical="bottom" wrapText="0"/>
    </xf>
    <xf borderId="11" fillId="16" fontId="17" numFmtId="0" xfId="0" applyAlignment="1" applyBorder="1" applyFill="1" applyFont="1">
      <alignment horizontal="center" shrinkToFit="0" vertical="center" wrapText="1"/>
    </xf>
    <xf borderId="0" fillId="0" fontId="3" numFmtId="0" xfId="0" applyAlignment="1" applyFont="1">
      <alignment horizontal="center" shrinkToFit="0" vertical="bottom" wrapText="0"/>
    </xf>
    <xf borderId="22" fillId="16" fontId="2" numFmtId="0" xfId="0" applyAlignment="1" applyBorder="1" applyFont="1">
      <alignment horizontal="center" shrinkToFit="0" vertical="bottom" wrapText="0"/>
    </xf>
    <xf borderId="34" fillId="3" fontId="2" numFmtId="0" xfId="0" applyAlignment="1" applyBorder="1" applyFont="1">
      <alignment horizontal="center" shrinkToFit="0" vertical="center" wrapText="0"/>
    </xf>
    <xf borderId="34" fillId="3" fontId="22" numFmtId="0" xfId="0" applyAlignment="1" applyBorder="1" applyFont="1">
      <alignment horizontal="center" readingOrder="0" shrinkToFit="0" vertical="center" wrapText="0"/>
    </xf>
    <xf borderId="61" fillId="3" fontId="2" numFmtId="0" xfId="0" applyAlignment="1" applyBorder="1" applyFont="1">
      <alignment horizontal="center" shrinkToFit="0" vertical="center" wrapText="1"/>
    </xf>
    <xf borderId="34" fillId="17" fontId="3" numFmtId="0" xfId="0" applyAlignment="1" applyBorder="1" applyFill="1" applyFont="1">
      <alignment shrinkToFit="0" vertical="bottom" wrapText="0"/>
    </xf>
  </cellXfs>
  <cellStyles count="1">
    <cellStyle xfId="0" name="Normal" builtinId="0"/>
  </cellStyles>
  <dxfs count="2">
    <dxf>
      <font>
        <color rgb="FFE36C09"/>
      </font>
      <fill>
        <patternFill patternType="none"/>
      </fill>
      <border/>
    </dxf>
    <dxf>
      <font>
        <color rgb="FFFF00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666699"/>
              </a:solidFill>
            </c:spPr>
          </c:dPt>
          <c:dPt>
            <c:idx val="1"/>
            <c:spPr>
              <a:solidFill>
                <a:srgbClr val="993366"/>
              </a:solidFill>
            </c:spPr>
          </c:dPt>
          <c:dPt>
            <c:idx val="2"/>
            <c:spPr>
              <a:solidFill>
                <a:srgbClr val="969696"/>
              </a:solidFill>
            </c:spPr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'Décisionnel'!$C$6:$C$8</c:f>
            </c:strRef>
          </c:cat>
          <c:val>
            <c:numRef>
              <c:f>'Décisionnel'!$D$6:$D$8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666699"/>
              </a:solidFill>
            </c:spPr>
          </c:dPt>
          <c:dPt>
            <c:idx val="1"/>
            <c:spPr>
              <a:solidFill>
                <a:srgbClr val="993366"/>
              </a:solidFill>
            </c:spPr>
          </c:dPt>
          <c:dPt>
            <c:idx val="2"/>
            <c:spPr>
              <a:solidFill>
                <a:srgbClr val="969696"/>
              </a:solidFill>
            </c:spPr>
          </c:dPt>
          <c:dPt>
            <c:idx val="3"/>
            <c:spPr>
              <a:solidFill>
                <a:srgbClr val="666699"/>
              </a:solidFill>
            </c:spPr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'Décisionnel'!$C$29:$C$32</c:f>
            </c:strRef>
          </c:cat>
          <c:val>
            <c:numRef>
              <c:f>'Décisionnel'!$D$29:$D$32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762000</xdr:colOff>
      <xdr:row>9</xdr:row>
      <xdr:rowOff>19050</xdr:rowOff>
    </xdr:from>
    <xdr:ext cx="6105525" cy="2867025"/>
    <xdr:graphicFrame>
      <xdr:nvGraphicFramePr>
        <xdr:cNvPr descr="Chart 0" id="68843400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1000125</xdr:colOff>
      <xdr:row>32</xdr:row>
      <xdr:rowOff>161925</xdr:rowOff>
    </xdr:from>
    <xdr:ext cx="6076950" cy="2895600"/>
    <xdr:graphicFrame>
      <xdr:nvGraphicFramePr>
        <xdr:cNvPr descr="Chart 1" id="70814363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pageSetUpPr/>
  </sheetPr>
  <sheetViews>
    <sheetView workbookViewId="0"/>
  </sheetViews>
  <sheetFormatPr customHeight="1" defaultColWidth="14.43" defaultRowHeight="15.0"/>
  <cols>
    <col customWidth="1" min="1" max="1" width="16.14"/>
    <col customWidth="1" min="2" max="2" width="21.71"/>
    <col customWidth="1" min="3" max="3" width="11.0"/>
    <col customWidth="1" min="4" max="4" width="14.0"/>
    <col customWidth="1" min="5" max="5" width="15.0"/>
    <col customWidth="1" min="6" max="6" width="12.43"/>
    <col customWidth="1" min="7" max="26" width="10.0"/>
  </cols>
  <sheetData>
    <row r="1">
      <c r="A1" s="1" t="s">
        <v>0</v>
      </c>
      <c r="B1" s="1"/>
      <c r="C1" s="1"/>
      <c r="D1" s="1"/>
      <c r="E1" s="1"/>
      <c r="F1" s="1"/>
    </row>
    <row r="2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4" t="s">
        <v>6</v>
      </c>
    </row>
    <row r="3">
      <c r="A3" s="5">
        <v>1.0</v>
      </c>
      <c r="B3" s="6" t="s">
        <v>7</v>
      </c>
      <c r="C3" s="6" t="s">
        <v>8</v>
      </c>
      <c r="D3" s="7">
        <v>21530.0</v>
      </c>
      <c r="E3" s="8" t="s">
        <v>9</v>
      </c>
      <c r="F3" s="9">
        <v>4000.0</v>
      </c>
    </row>
    <row r="4">
      <c r="A4" s="10">
        <v>2.0</v>
      </c>
      <c r="B4" s="11" t="s">
        <v>10</v>
      </c>
      <c r="C4" s="11" t="s">
        <v>11</v>
      </c>
      <c r="D4" s="12">
        <v>27437.0</v>
      </c>
      <c r="E4" s="12" t="s">
        <v>12</v>
      </c>
      <c r="F4" s="13">
        <v>2000.0</v>
      </c>
    </row>
    <row r="5">
      <c r="A5" s="5">
        <v>3.0</v>
      </c>
      <c r="B5" s="6" t="s">
        <v>13</v>
      </c>
      <c r="C5" s="6" t="s">
        <v>14</v>
      </c>
      <c r="D5" s="8">
        <v>19371.0</v>
      </c>
      <c r="E5" s="8" t="s">
        <v>15</v>
      </c>
      <c r="F5" s="9">
        <v>5000.0</v>
      </c>
    </row>
    <row r="6">
      <c r="A6" s="10">
        <v>4.0</v>
      </c>
      <c r="B6" s="11" t="s">
        <v>16</v>
      </c>
      <c r="C6" s="11" t="s">
        <v>17</v>
      </c>
      <c r="D6" s="12">
        <v>30918.0</v>
      </c>
      <c r="E6" s="12" t="s">
        <v>18</v>
      </c>
      <c r="F6" s="13">
        <v>2500.0</v>
      </c>
    </row>
    <row r="7">
      <c r="A7" s="5">
        <v>5.0</v>
      </c>
      <c r="B7" s="6" t="s">
        <v>19</v>
      </c>
      <c r="C7" s="6" t="s">
        <v>20</v>
      </c>
      <c r="D7" s="8">
        <v>18305.0</v>
      </c>
      <c r="E7" s="8" t="s">
        <v>21</v>
      </c>
      <c r="F7" s="9">
        <v>10000.0</v>
      </c>
    </row>
    <row r="8">
      <c r="A8" s="10">
        <v>6.0</v>
      </c>
      <c r="B8" s="11" t="s">
        <v>22</v>
      </c>
      <c r="C8" s="11" t="s">
        <v>8</v>
      </c>
      <c r="D8" s="12">
        <v>29231.0</v>
      </c>
      <c r="E8" s="12" t="s">
        <v>23</v>
      </c>
      <c r="F8" s="13">
        <v>2800.0</v>
      </c>
    </row>
    <row r="9">
      <c r="A9" s="5">
        <v>7.0</v>
      </c>
      <c r="B9" s="6" t="s">
        <v>24</v>
      </c>
      <c r="C9" s="6" t="s">
        <v>25</v>
      </c>
      <c r="D9" s="8">
        <v>27637.0</v>
      </c>
      <c r="E9" s="8" t="s">
        <v>23</v>
      </c>
      <c r="F9" s="9">
        <v>3000.0</v>
      </c>
    </row>
    <row r="10">
      <c r="A10" s="10">
        <v>8.0</v>
      </c>
      <c r="B10" s="11" t="s">
        <v>26</v>
      </c>
      <c r="C10" s="11" t="s">
        <v>27</v>
      </c>
      <c r="D10" s="12">
        <v>29638.0</v>
      </c>
      <c r="E10" s="12" t="s">
        <v>23</v>
      </c>
      <c r="F10" s="13">
        <v>2600.0</v>
      </c>
    </row>
    <row r="12">
      <c r="A12" s="1" t="s">
        <v>28</v>
      </c>
      <c r="B12" s="14"/>
      <c r="C12" s="14"/>
      <c r="D12" s="14"/>
      <c r="E12" s="14"/>
      <c r="F12" s="14"/>
    </row>
    <row r="13">
      <c r="A13" s="2" t="s">
        <v>29</v>
      </c>
      <c r="B13" s="3" t="s">
        <v>2</v>
      </c>
      <c r="C13" s="3" t="s">
        <v>30</v>
      </c>
      <c r="D13" s="4" t="s">
        <v>31</v>
      </c>
    </row>
    <row r="14">
      <c r="A14" s="5">
        <v>1.0</v>
      </c>
      <c r="B14" s="6" t="s">
        <v>32</v>
      </c>
      <c r="C14" s="6">
        <v>21000.0</v>
      </c>
      <c r="D14" s="9">
        <v>19000.0</v>
      </c>
    </row>
    <row r="15">
      <c r="A15" s="10">
        <v>2.0</v>
      </c>
      <c r="B15" s="11" t="s">
        <v>33</v>
      </c>
      <c r="C15" s="11">
        <v>32000.0</v>
      </c>
      <c r="D15" s="13">
        <v>31000.0</v>
      </c>
    </row>
    <row r="16">
      <c r="A16" s="5">
        <v>3.0</v>
      </c>
      <c r="B16" s="6" t="s">
        <v>34</v>
      </c>
      <c r="C16" s="6">
        <v>15000.0</v>
      </c>
      <c r="D16" s="9">
        <v>12000.0</v>
      </c>
    </row>
    <row r="17">
      <c r="A17" s="10">
        <v>4.0</v>
      </c>
      <c r="B17" s="11" t="s">
        <v>35</v>
      </c>
      <c r="C17" s="11">
        <v>10000.0</v>
      </c>
      <c r="D17" s="13">
        <v>7000.0</v>
      </c>
    </row>
    <row r="19">
      <c r="A19" s="1" t="s">
        <v>36</v>
      </c>
      <c r="B19" s="14"/>
      <c r="C19" s="14"/>
      <c r="D19" s="14"/>
      <c r="E19" s="14"/>
      <c r="F19" s="14"/>
    </row>
    <row r="20">
      <c r="A20" s="2" t="s">
        <v>2</v>
      </c>
      <c r="B20" s="3" t="s">
        <v>37</v>
      </c>
      <c r="C20" s="3" t="s">
        <v>38</v>
      </c>
      <c r="D20" s="3" t="s">
        <v>39</v>
      </c>
      <c r="E20" s="4" t="s">
        <v>40</v>
      </c>
    </row>
    <row r="21" ht="30.0" customHeight="1">
      <c r="A21" s="15" t="s">
        <v>41</v>
      </c>
      <c r="B21" s="6" t="s">
        <v>42</v>
      </c>
      <c r="C21" s="6">
        <v>78200.0</v>
      </c>
      <c r="D21" s="6" t="s">
        <v>43</v>
      </c>
      <c r="E21" s="16">
        <v>1.5478652333214E13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2">
    <pageSetUpPr/>
  </sheetPr>
  <sheetViews>
    <sheetView workbookViewId="0"/>
  </sheetViews>
  <sheetFormatPr customHeight="1" defaultColWidth="14.43" defaultRowHeight="15.0"/>
  <cols>
    <col customWidth="1" min="1" max="1" width="1.57"/>
    <col customWidth="1" min="2" max="6" width="10.0"/>
    <col customWidth="1" min="7" max="7" width="14.43"/>
    <col customWidth="1" min="8" max="8" width="14.0"/>
    <col customWidth="1" min="9" max="9" width="12.57"/>
    <col customWidth="1" min="10" max="10" width="10.0"/>
    <col customWidth="1" min="11" max="11" width="16.0"/>
    <col customWidth="1" min="12" max="26" width="10.0"/>
  </cols>
  <sheetData>
    <row r="1" ht="18.75" customHeight="1">
      <c r="B1" s="17" t="s">
        <v>44</v>
      </c>
      <c r="C1" s="18"/>
      <c r="D1" s="18"/>
      <c r="E1" s="18"/>
      <c r="F1" s="18"/>
      <c r="G1" s="18"/>
      <c r="H1" s="18"/>
      <c r="I1" s="18"/>
      <c r="J1" s="18"/>
      <c r="K1" s="19"/>
    </row>
    <row r="2" ht="16.5" customHeight="1">
      <c r="B2" s="20" t="s">
        <v>45</v>
      </c>
      <c r="C2" s="18"/>
      <c r="D2" s="18"/>
      <c r="E2" s="18"/>
      <c r="F2" s="19"/>
      <c r="G2" s="21" t="s">
        <v>46</v>
      </c>
      <c r="H2" s="18"/>
      <c r="I2" s="18"/>
      <c r="J2" s="18"/>
      <c r="K2" s="19"/>
    </row>
    <row r="3" ht="15.75" customHeight="1">
      <c r="B3" s="22" t="s">
        <v>47</v>
      </c>
      <c r="C3" s="23"/>
      <c r="D3" s="24" t="str">
        <f>'BDD unique'!A21
</f>
        <v>Concessionnaire Senghor</v>
      </c>
      <c r="E3" s="25"/>
      <c r="F3" s="26"/>
      <c r="G3" s="27" t="s">
        <v>48</v>
      </c>
      <c r="H3" s="23"/>
      <c r="I3" s="28">
        <v>1.0</v>
      </c>
      <c r="J3" s="25"/>
      <c r="K3" s="26"/>
    </row>
    <row r="4" ht="15.75" customHeight="1">
      <c r="B4" s="29" t="s">
        <v>49</v>
      </c>
      <c r="C4" s="30"/>
      <c r="D4" s="31" t="str">
        <f>'BDD unique'!B21
</f>
        <v>Place Pierre Beregovoy</v>
      </c>
      <c r="E4" s="32"/>
      <c r="F4" s="33"/>
      <c r="G4" s="29" t="s">
        <v>50</v>
      </c>
      <c r="H4" s="30"/>
      <c r="I4" s="34" t="str">
        <f>CONCATENATE(VLOOKUP(I3,'BDD unique'!A3:F10,2,FALSE)," ",VLOOKUP(I3,'BDD unique'!A3:F10,3,FALSE))</f>
        <v>Martin Paul</v>
      </c>
      <c r="K4" s="35"/>
    </row>
    <row r="5" ht="15.75" customHeight="1">
      <c r="B5" s="29" t="s">
        <v>51</v>
      </c>
      <c r="C5" s="30"/>
      <c r="D5" s="36" t="str">
        <f>CONCATENATE('BDD unique'!C21,"",'BDD unique'!D21)
</f>
        <v>78200MAGNANVILLE</v>
      </c>
      <c r="E5" s="37"/>
      <c r="F5" s="38"/>
      <c r="G5" s="29" t="s">
        <v>52</v>
      </c>
      <c r="I5" s="39">
        <f>VLOOKUP(I3,'BDD unique'!A3:F10,4,FALSE)</f>
        <v>21530</v>
      </c>
      <c r="J5" s="37"/>
      <c r="K5" s="38"/>
    </row>
    <row r="6" ht="15.75" customHeight="1">
      <c r="B6" s="29" t="s">
        <v>53</v>
      </c>
      <c r="D6" s="40">
        <f>'BDD unique'!E21
</f>
        <v>15478652333214</v>
      </c>
      <c r="E6" s="37"/>
      <c r="F6" s="38"/>
      <c r="G6" s="29" t="s">
        <v>5</v>
      </c>
      <c r="I6" s="39" t="str">
        <f>VLOOKUP(I3,'BDD unique'!A3:F10,5,FALSE)
</f>
        <v>ingénieur</v>
      </c>
      <c r="J6" s="37"/>
      <c r="K6" s="38"/>
    </row>
    <row r="7" ht="15.75" customHeight="1">
      <c r="B7" s="41"/>
      <c r="C7" s="42"/>
      <c r="D7" s="42"/>
      <c r="E7" s="42"/>
      <c r="F7" s="43"/>
      <c r="G7" s="42"/>
      <c r="H7" s="42"/>
      <c r="I7" s="44"/>
      <c r="J7" s="45"/>
      <c r="K7" s="46"/>
    </row>
    <row r="8" ht="7.5" customHeight="1">
      <c r="B8" s="47"/>
      <c r="C8" s="48"/>
      <c r="D8" s="48"/>
      <c r="E8" s="48"/>
      <c r="F8" s="48"/>
      <c r="G8" s="48"/>
      <c r="H8" s="48"/>
      <c r="I8" s="49"/>
      <c r="J8" s="49"/>
      <c r="K8" s="50"/>
    </row>
    <row r="9" ht="15.75" customHeight="1">
      <c r="B9" s="51" t="s">
        <v>54</v>
      </c>
      <c r="C9" s="37"/>
      <c r="D9" s="37"/>
      <c r="E9" s="37"/>
      <c r="F9" s="52"/>
      <c r="G9" s="53">
        <f>VLOOKUP(I3,'BDD unique'!A3:F10,6,FALSE)
</f>
        <v>4000</v>
      </c>
      <c r="H9" s="54"/>
      <c r="I9" s="55"/>
      <c r="J9" s="54"/>
      <c r="K9" s="56"/>
    </row>
    <row r="10" ht="9.0" customHeight="1">
      <c r="B10" s="57"/>
      <c r="C10" s="58"/>
      <c r="D10" s="58"/>
      <c r="E10" s="58"/>
      <c r="F10" s="58"/>
      <c r="G10" s="59"/>
      <c r="H10" s="60"/>
      <c r="I10" s="60"/>
      <c r="J10" s="60"/>
      <c r="K10" s="61"/>
    </row>
    <row r="11" ht="15.75" customHeight="1">
      <c r="B11" s="62"/>
      <c r="C11" s="63"/>
      <c r="D11" s="63"/>
      <c r="E11" s="63"/>
      <c r="F11" s="63"/>
      <c r="G11" s="64"/>
      <c r="H11" s="42"/>
      <c r="I11" s="42"/>
      <c r="J11" s="42"/>
      <c r="K11" s="43"/>
    </row>
    <row r="12" ht="8.25" customHeight="1">
      <c r="B12" s="65"/>
      <c r="C12" s="66"/>
      <c r="D12" s="66"/>
      <c r="E12" s="66"/>
      <c r="F12" s="66"/>
      <c r="G12" s="67"/>
      <c r="H12" s="68"/>
      <c r="I12" s="68"/>
      <c r="J12" s="68"/>
      <c r="K12" s="69"/>
    </row>
    <row r="13" ht="15.75" customHeight="1">
      <c r="B13" s="70" t="s">
        <v>55</v>
      </c>
      <c r="C13" s="23"/>
      <c r="D13" s="23"/>
      <c r="E13" s="71"/>
      <c r="F13" s="72" t="s">
        <v>56</v>
      </c>
      <c r="G13" s="18"/>
      <c r="H13" s="19"/>
      <c r="I13" s="72" t="s">
        <v>57</v>
      </c>
      <c r="J13" s="18"/>
      <c r="K13" s="19"/>
    </row>
    <row r="14" ht="15.75" customHeight="1">
      <c r="B14" s="73"/>
      <c r="C14" s="74"/>
      <c r="D14" s="74"/>
      <c r="E14" s="75"/>
      <c r="F14" s="76" t="s">
        <v>58</v>
      </c>
      <c r="G14" s="76" t="s">
        <v>59</v>
      </c>
      <c r="H14" s="77" t="s">
        <v>60</v>
      </c>
      <c r="I14" s="77" t="s">
        <v>58</v>
      </c>
      <c r="J14" s="76" t="s">
        <v>59</v>
      </c>
      <c r="K14" s="78" t="s">
        <v>60</v>
      </c>
    </row>
    <row r="15">
      <c r="B15" s="79" t="s">
        <v>61</v>
      </c>
      <c r="C15" s="25"/>
      <c r="D15" s="25"/>
      <c r="E15" s="26"/>
      <c r="F15" s="80">
        <f t="shared" ref="F15:F17" si="1">$G$9*97%</f>
        <v>3880</v>
      </c>
      <c r="G15" s="81">
        <v>0.024</v>
      </c>
      <c r="H15" s="82">
        <f t="shared" ref="H15:H17" si="2">F15*G15</f>
        <v>93.12</v>
      </c>
      <c r="I15" s="80"/>
      <c r="J15" s="81"/>
      <c r="K15" s="56"/>
    </row>
    <row r="16">
      <c r="B16" s="83" t="s">
        <v>62</v>
      </c>
      <c r="C16" s="37"/>
      <c r="D16" s="37"/>
      <c r="E16" s="52"/>
      <c r="F16" s="84">
        <f t="shared" si="1"/>
        <v>3880</v>
      </c>
      <c r="G16" s="85">
        <v>0.005</v>
      </c>
      <c r="H16" s="82">
        <f t="shared" si="2"/>
        <v>19.4</v>
      </c>
      <c r="I16" s="84"/>
      <c r="J16" s="85"/>
      <c r="K16" s="56"/>
    </row>
    <row r="17">
      <c r="B17" s="83" t="s">
        <v>63</v>
      </c>
      <c r="C17" s="37"/>
      <c r="D17" s="37"/>
      <c r="E17" s="52"/>
      <c r="F17" s="84">
        <f t="shared" si="1"/>
        <v>3880</v>
      </c>
      <c r="G17" s="85">
        <v>0.051</v>
      </c>
      <c r="H17" s="82">
        <f t="shared" si="2"/>
        <v>197.88</v>
      </c>
      <c r="I17" s="84"/>
      <c r="J17" s="85"/>
      <c r="K17" s="56"/>
    </row>
    <row r="18">
      <c r="B18" s="86" t="s">
        <v>64</v>
      </c>
      <c r="C18" s="37"/>
      <c r="D18" s="37"/>
      <c r="E18" s="52"/>
      <c r="F18" s="84"/>
      <c r="G18" s="85"/>
      <c r="H18" s="82"/>
      <c r="I18" s="84"/>
      <c r="J18" s="85"/>
      <c r="K18" s="56"/>
    </row>
    <row r="19">
      <c r="B19" s="87" t="s">
        <v>65</v>
      </c>
      <c r="C19" s="37"/>
      <c r="D19" s="37"/>
      <c r="E19" s="52"/>
      <c r="F19" s="84">
        <f t="shared" ref="F19:F20" si="3">$G$9</f>
        <v>4000</v>
      </c>
      <c r="G19" s="85">
        <v>0.0075</v>
      </c>
      <c r="H19" s="82">
        <f t="shared" ref="H19:H20" si="4">F19*G19</f>
        <v>30</v>
      </c>
      <c r="I19" s="84">
        <f>$G$9</f>
        <v>4000</v>
      </c>
      <c r="J19" s="85">
        <v>0.128</v>
      </c>
      <c r="K19" s="88">
        <f>I19*J19</f>
        <v>512</v>
      </c>
    </row>
    <row r="20">
      <c r="B20" s="83" t="s">
        <v>66</v>
      </c>
      <c r="C20" s="37"/>
      <c r="D20" s="37"/>
      <c r="E20" s="52"/>
      <c r="F20" s="84">
        <f t="shared" si="3"/>
        <v>4000</v>
      </c>
      <c r="G20" s="85">
        <v>0.001</v>
      </c>
      <c r="H20" s="82">
        <f t="shared" si="4"/>
        <v>4</v>
      </c>
      <c r="I20" s="84"/>
      <c r="J20" s="85"/>
      <c r="K20" s="88"/>
    </row>
    <row r="21" ht="15.75" customHeight="1">
      <c r="B21" s="86" t="s">
        <v>67</v>
      </c>
      <c r="C21" s="37"/>
      <c r="D21" s="37"/>
      <c r="E21" s="52"/>
      <c r="F21" s="84"/>
      <c r="G21" s="85"/>
      <c r="H21" s="82"/>
      <c r="I21" s="84"/>
      <c r="J21" s="85"/>
      <c r="K21" s="88"/>
    </row>
    <row r="22" ht="15.75" customHeight="1">
      <c r="B22" s="83" t="s">
        <v>68</v>
      </c>
      <c r="C22" s="37"/>
      <c r="D22" s="37"/>
      <c r="E22" s="52"/>
      <c r="F22" s="84">
        <f>$G$9</f>
        <v>4000</v>
      </c>
      <c r="G22" s="85">
        <v>0.0655</v>
      </c>
      <c r="H22" s="82">
        <f>F22*G22</f>
        <v>262</v>
      </c>
      <c r="I22" s="84">
        <f>$G$9</f>
        <v>4000</v>
      </c>
      <c r="J22" s="85">
        <v>0.016</v>
      </c>
      <c r="K22" s="88">
        <f t="shared" ref="K22:K25" si="5">I22*J22</f>
        <v>64</v>
      </c>
    </row>
    <row r="23" ht="15.75" customHeight="1">
      <c r="B23" s="83" t="s">
        <v>69</v>
      </c>
      <c r="C23" s="37"/>
      <c r="D23" s="37"/>
      <c r="E23" s="52"/>
      <c r="F23" s="84"/>
      <c r="G23" s="85"/>
      <c r="H23" s="82"/>
      <c r="I23" s="84">
        <f>IF(I9&gt;0,#REF!,G9)</f>
        <v>4000</v>
      </c>
      <c r="J23" s="85">
        <v>0.082</v>
      </c>
      <c r="K23" s="88">
        <f t="shared" si="5"/>
        <v>328</v>
      </c>
    </row>
    <row r="24" ht="15.75" customHeight="1">
      <c r="B24" s="83" t="s">
        <v>70</v>
      </c>
      <c r="C24" s="37"/>
      <c r="D24" s="37"/>
      <c r="E24" s="52"/>
      <c r="F24" s="84"/>
      <c r="G24" s="85"/>
      <c r="H24" s="82"/>
      <c r="I24" s="84">
        <f t="shared" ref="I24:I25" si="6">$G$9</f>
        <v>4000</v>
      </c>
      <c r="J24" s="85">
        <v>0.073</v>
      </c>
      <c r="K24" s="88">
        <f t="shared" si="5"/>
        <v>292</v>
      </c>
    </row>
    <row r="25" ht="15.75" customHeight="1">
      <c r="B25" s="83" t="s">
        <v>71</v>
      </c>
      <c r="C25" s="37"/>
      <c r="D25" s="37"/>
      <c r="E25" s="52"/>
      <c r="F25" s="84"/>
      <c r="G25" s="85"/>
      <c r="H25" s="82"/>
      <c r="I25" s="84">
        <f t="shared" si="6"/>
        <v>4000</v>
      </c>
      <c r="J25" s="85">
        <v>0.054</v>
      </c>
      <c r="K25" s="88">
        <f t="shared" si="5"/>
        <v>216</v>
      </c>
    </row>
    <row r="26" ht="15.75" customHeight="1">
      <c r="B26" s="86" t="s">
        <v>72</v>
      </c>
      <c r="C26" s="37"/>
      <c r="D26" s="37"/>
      <c r="E26" s="52"/>
      <c r="F26" s="84"/>
      <c r="G26" s="85"/>
      <c r="H26" s="82"/>
      <c r="I26" s="84"/>
      <c r="J26" s="85"/>
      <c r="K26" s="88"/>
    </row>
    <row r="27" ht="15.75" customHeight="1">
      <c r="B27" s="83" t="s">
        <v>73</v>
      </c>
      <c r="C27" s="37"/>
      <c r="D27" s="37"/>
      <c r="E27" s="52"/>
      <c r="F27" s="84"/>
      <c r="G27" s="85"/>
      <c r="H27" s="82"/>
      <c r="I27" s="84">
        <f t="shared" ref="I27:I28" si="7">$G$9</f>
        <v>4000</v>
      </c>
      <c r="J27" s="85">
        <v>0.004</v>
      </c>
      <c r="K27" s="88">
        <f t="shared" ref="K27:K28" si="8">I27*J27</f>
        <v>16</v>
      </c>
    </row>
    <row r="28" ht="15.75" customHeight="1">
      <c r="B28" s="83" t="s">
        <v>74</v>
      </c>
      <c r="C28" s="37"/>
      <c r="D28" s="37"/>
      <c r="E28" s="52"/>
      <c r="F28" s="84"/>
      <c r="G28" s="85"/>
      <c r="H28" s="82"/>
      <c r="I28" s="84">
        <f t="shared" si="7"/>
        <v>4000</v>
      </c>
      <c r="J28" s="85">
        <v>0.001</v>
      </c>
      <c r="K28" s="88">
        <f t="shared" si="8"/>
        <v>4</v>
      </c>
    </row>
    <row r="29" ht="15.75" customHeight="1">
      <c r="B29" s="86" t="s">
        <v>75</v>
      </c>
      <c r="C29" s="37"/>
      <c r="D29" s="37"/>
      <c r="E29" s="52"/>
      <c r="F29" s="89"/>
      <c r="G29" s="89"/>
      <c r="H29" s="82"/>
      <c r="I29" s="84"/>
      <c r="J29" s="85"/>
      <c r="K29" s="88"/>
    </row>
    <row r="30" ht="15.75" customHeight="1">
      <c r="B30" s="83" t="s">
        <v>76</v>
      </c>
      <c r="C30" s="37"/>
      <c r="D30" s="37"/>
      <c r="E30" s="52"/>
      <c r="F30" s="84">
        <f>IF(I9&gt;0,I9,0)</f>
        <v>0</v>
      </c>
      <c r="G30" s="85">
        <v>0.024</v>
      </c>
      <c r="H30" s="82">
        <f>F30*G30</f>
        <v>0</v>
      </c>
      <c r="I30" s="84">
        <f>F30</f>
        <v>0</v>
      </c>
      <c r="J30" s="85">
        <v>0.04</v>
      </c>
      <c r="K30" s="88">
        <f t="shared" ref="K30:K31" si="9">I30*J30</f>
        <v>0</v>
      </c>
    </row>
    <row r="31" ht="15.75" customHeight="1">
      <c r="B31" s="83" t="s">
        <v>77</v>
      </c>
      <c r="C31" s="37"/>
      <c r="D31" s="37"/>
      <c r="E31" s="52"/>
      <c r="F31" s="90"/>
      <c r="G31" s="85"/>
      <c r="H31" s="82"/>
      <c r="I31" s="84">
        <f>$G$9</f>
        <v>4000</v>
      </c>
      <c r="J31" s="85">
        <v>0.004</v>
      </c>
      <c r="K31" s="88">
        <f t="shared" si="9"/>
        <v>16</v>
      </c>
    </row>
    <row r="32" ht="15.75" customHeight="1">
      <c r="B32" s="86" t="s">
        <v>78</v>
      </c>
      <c r="C32" s="37"/>
      <c r="D32" s="37"/>
      <c r="E32" s="52"/>
      <c r="F32" s="84"/>
      <c r="G32" s="85"/>
      <c r="H32" s="82"/>
      <c r="I32" s="84"/>
      <c r="J32" s="91"/>
      <c r="K32" s="92"/>
    </row>
    <row r="33" ht="15.75" customHeight="1">
      <c r="B33" s="83" t="s">
        <v>79</v>
      </c>
      <c r="C33" s="37"/>
      <c r="D33" s="37"/>
      <c r="E33" s="52"/>
      <c r="F33" s="84">
        <f>F30</f>
        <v>0</v>
      </c>
      <c r="G33" s="85">
        <v>0.084</v>
      </c>
      <c r="H33" s="82">
        <f t="shared" ref="H33:H34" si="10">F33*G33</f>
        <v>0</v>
      </c>
      <c r="I33" s="84">
        <f>F33</f>
        <v>0</v>
      </c>
      <c r="J33" s="85">
        <v>0.138</v>
      </c>
      <c r="K33" s="88">
        <f t="shared" ref="K33:K36" si="11">I33*J33</f>
        <v>0</v>
      </c>
    </row>
    <row r="34" ht="15.75" customHeight="1">
      <c r="B34" s="87" t="s">
        <v>80</v>
      </c>
      <c r="C34" s="37"/>
      <c r="D34" s="37"/>
      <c r="E34" s="52"/>
      <c r="F34" s="84">
        <f>$G$9</f>
        <v>4000</v>
      </c>
      <c r="G34" s="85">
        <v>2.4E-4</v>
      </c>
      <c r="H34" s="82">
        <f t="shared" si="10"/>
        <v>0.96</v>
      </c>
      <c r="I34" s="84">
        <f t="shared" ref="I34:I36" si="12">$G$9</f>
        <v>4000</v>
      </c>
      <c r="J34" s="85">
        <v>3.6E-4</v>
      </c>
      <c r="K34" s="88">
        <f t="shared" si="11"/>
        <v>1.44</v>
      </c>
    </row>
    <row r="35" ht="15.75" customHeight="1">
      <c r="B35" s="87" t="s">
        <v>81</v>
      </c>
      <c r="C35" s="37"/>
      <c r="D35" s="37"/>
      <c r="E35" s="52"/>
      <c r="F35" s="84"/>
      <c r="G35" s="85"/>
      <c r="H35" s="82"/>
      <c r="I35" s="84">
        <f t="shared" si="12"/>
        <v>4000</v>
      </c>
      <c r="J35" s="85">
        <v>0.015</v>
      </c>
      <c r="K35" s="88">
        <f t="shared" si="11"/>
        <v>60</v>
      </c>
    </row>
    <row r="36" ht="15.75" customHeight="1">
      <c r="B36" s="93" t="s">
        <v>82</v>
      </c>
      <c r="C36" s="45"/>
      <c r="D36" s="45"/>
      <c r="E36" s="94"/>
      <c r="F36" s="95">
        <f>$G$9</f>
        <v>4000</v>
      </c>
      <c r="G36" s="96">
        <v>0.0013</v>
      </c>
      <c r="H36" s="59">
        <f>F36*G36</f>
        <v>5.2</v>
      </c>
      <c r="I36" s="95">
        <f t="shared" si="12"/>
        <v>4000</v>
      </c>
      <c r="J36" s="96">
        <v>0.0022</v>
      </c>
      <c r="K36" s="88">
        <f t="shared" si="11"/>
        <v>8.8</v>
      </c>
    </row>
    <row r="37" ht="16.5" customHeight="1">
      <c r="B37" s="21" t="s">
        <v>83</v>
      </c>
      <c r="C37" s="18"/>
      <c r="D37" s="18"/>
      <c r="E37" s="19"/>
      <c r="F37" s="68"/>
      <c r="G37" s="68"/>
      <c r="H37" s="97">
        <f>SUM(H15:H36)</f>
        <v>612.56</v>
      </c>
      <c r="I37" s="68"/>
      <c r="J37" s="68"/>
      <c r="K37" s="98">
        <f>SUM(K15:K36)</f>
        <v>1518.24</v>
      </c>
      <c r="L37" s="68"/>
    </row>
    <row r="38" ht="6.75" customHeight="1">
      <c r="B38" s="65"/>
      <c r="F38" s="68"/>
      <c r="G38" s="68"/>
      <c r="H38" s="68"/>
      <c r="I38" s="68"/>
      <c r="J38" s="68"/>
      <c r="K38" s="69"/>
      <c r="L38" s="68"/>
    </row>
    <row r="39" ht="15.75" customHeight="1">
      <c r="B39" s="99"/>
      <c r="C39" s="18"/>
      <c r="D39" s="18"/>
      <c r="E39" s="100"/>
      <c r="F39" s="101"/>
      <c r="G39" s="101"/>
      <c r="H39" s="101"/>
      <c r="I39" s="101"/>
      <c r="J39" s="101"/>
      <c r="K39" s="102"/>
    </row>
    <row r="40" ht="5.25" customHeight="1">
      <c r="B40" s="65"/>
      <c r="C40" s="66"/>
      <c r="D40" s="66"/>
      <c r="E40" s="66"/>
      <c r="F40" s="68"/>
      <c r="G40" s="68"/>
      <c r="H40" s="68"/>
      <c r="I40" s="68"/>
      <c r="J40" s="68"/>
      <c r="K40" s="69"/>
    </row>
    <row r="41" ht="21.0" customHeight="1">
      <c r="B41" s="103"/>
      <c r="C41" s="104"/>
      <c r="D41" s="104"/>
      <c r="E41" s="104"/>
      <c r="F41" s="68"/>
      <c r="G41" s="69"/>
      <c r="H41" s="105" t="s">
        <v>84</v>
      </c>
      <c r="I41" s="106"/>
      <c r="J41" s="106"/>
      <c r="K41" s="107">
        <f>G9-H37</f>
        <v>3387.44</v>
      </c>
    </row>
    <row r="42" ht="7.5" customHeight="1">
      <c r="B42" s="103"/>
      <c r="C42" s="104"/>
      <c r="D42" s="104"/>
      <c r="E42" s="104"/>
      <c r="F42" s="68"/>
      <c r="G42" s="68"/>
      <c r="H42" s="104"/>
      <c r="I42" s="68"/>
      <c r="J42" s="68"/>
      <c r="K42" s="108"/>
    </row>
    <row r="43" ht="16.5" customHeight="1">
      <c r="B43" s="109"/>
      <c r="C43" s="104"/>
      <c r="D43" s="104"/>
      <c r="E43" s="104"/>
      <c r="F43" s="68"/>
      <c r="G43" s="68"/>
      <c r="H43" s="110" t="s">
        <v>85</v>
      </c>
      <c r="I43" s="111"/>
      <c r="J43" s="111"/>
      <c r="K43" s="112">
        <f>K41+H15</f>
        <v>3480.56</v>
      </c>
    </row>
    <row r="44" ht="4.5" customHeight="1">
      <c r="B44" s="103"/>
      <c r="C44" s="104"/>
      <c r="D44" s="104"/>
      <c r="E44" s="104"/>
      <c r="F44" s="68"/>
      <c r="G44" s="68"/>
      <c r="H44" s="113"/>
      <c r="I44" s="68"/>
      <c r="J44" s="68"/>
      <c r="K44" s="69"/>
    </row>
    <row r="45" ht="15.75" customHeight="1">
      <c r="B45" s="114" t="s">
        <v>86</v>
      </c>
      <c r="C45" s="18"/>
      <c r="D45" s="18"/>
      <c r="E45" s="18"/>
      <c r="F45" s="18"/>
      <c r="G45" s="18"/>
      <c r="H45" s="18"/>
      <c r="I45" s="18"/>
      <c r="J45" s="18"/>
      <c r="K45" s="19"/>
    </row>
    <row r="46" ht="7.5" customHeight="1">
      <c r="F46" s="68"/>
    </row>
    <row r="47" ht="6.75" customHeight="1">
      <c r="F47" s="68"/>
    </row>
    <row r="48" ht="15.75" customHeight="1">
      <c r="F48" s="68"/>
    </row>
    <row r="49" ht="15.75" customHeight="1">
      <c r="F49" s="68"/>
    </row>
    <row r="50" ht="15.75" customHeight="1">
      <c r="F50" s="68"/>
    </row>
    <row r="51" ht="15.75" customHeight="1">
      <c r="F51" s="68"/>
    </row>
    <row r="52" ht="15.75" customHeight="1">
      <c r="F52" s="68"/>
    </row>
    <row r="53" ht="15.75" customHeight="1">
      <c r="B53" s="115"/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7">
    <mergeCell ref="B1:K1"/>
    <mergeCell ref="B2:F2"/>
    <mergeCell ref="G2:K2"/>
    <mergeCell ref="B3:C3"/>
    <mergeCell ref="G3:H3"/>
    <mergeCell ref="I3:K3"/>
    <mergeCell ref="I4:K4"/>
    <mergeCell ref="I6:K6"/>
    <mergeCell ref="I7:K7"/>
    <mergeCell ref="D3:F3"/>
    <mergeCell ref="D5:F5"/>
    <mergeCell ref="G5:H5"/>
    <mergeCell ref="I5:K5"/>
    <mergeCell ref="B6:C6"/>
    <mergeCell ref="D6:F6"/>
    <mergeCell ref="G6:H6"/>
    <mergeCell ref="B9:F9"/>
    <mergeCell ref="B13:E14"/>
    <mergeCell ref="F13:H13"/>
    <mergeCell ref="I13:K13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4:E24"/>
    <mergeCell ref="B25:E25"/>
    <mergeCell ref="B26:E26"/>
    <mergeCell ref="B27:E27"/>
    <mergeCell ref="B28:E28"/>
    <mergeCell ref="B29:E29"/>
    <mergeCell ref="B30:E30"/>
    <mergeCell ref="B31:E31"/>
    <mergeCell ref="B39:E39"/>
    <mergeCell ref="B45:K45"/>
    <mergeCell ref="B53:G53"/>
    <mergeCell ref="B32:E32"/>
    <mergeCell ref="B33:E33"/>
    <mergeCell ref="B34:E34"/>
    <mergeCell ref="B35:E35"/>
    <mergeCell ref="B36:E36"/>
    <mergeCell ref="B37:E37"/>
    <mergeCell ref="B38:E38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8.29"/>
    <col customWidth="1" min="3" max="3" width="21.57"/>
    <col customWidth="1" min="4" max="4" width="13.57"/>
    <col customWidth="1" min="5" max="5" width="17.57"/>
    <col customWidth="1" min="6" max="6" width="14.0"/>
    <col customWidth="1" min="7" max="7" width="10.0"/>
    <col customWidth="1" min="8" max="8" width="28.0"/>
    <col customWidth="1" min="9" max="9" width="14.29"/>
    <col customWidth="1" min="10" max="14" width="10.0"/>
    <col customWidth="1" min="15" max="15" width="18.0"/>
    <col customWidth="1" min="16" max="26" width="10.0"/>
  </cols>
  <sheetData>
    <row r="1" ht="42.0" customHeight="1">
      <c r="A1" s="116" t="s">
        <v>87</v>
      </c>
      <c r="B1" s="117"/>
      <c r="C1" s="117"/>
      <c r="D1" s="117"/>
      <c r="E1" s="117"/>
      <c r="F1" s="118"/>
      <c r="M1" s="119">
        <f>'BDD unique'!A14</f>
        <v>1</v>
      </c>
      <c r="N1" s="119" t="str">
        <f>'BDD unique'!B14</f>
        <v>Peugeot 406</v>
      </c>
      <c r="O1" s="119" t="str">
        <f t="shared" ref="O1:O4" si="1">CONCATENATE(M1," : ",N1)</f>
        <v>1 : Peugeot 406</v>
      </c>
      <c r="Q1" s="119">
        <f>'BDD unique'!A8</f>
        <v>6</v>
      </c>
      <c r="R1" s="119" t="str">
        <f>'BDD unique'!B8</f>
        <v>Vaillant</v>
      </c>
      <c r="S1" s="119" t="str">
        <f>'BDD unique'!C8</f>
        <v>Paul</v>
      </c>
      <c r="T1" s="119" t="str">
        <f t="shared" ref="T1:T3" si="2">CONCATENATE(Q1," : ",R1," ",S1)</f>
        <v>6 : Vaillant Paul</v>
      </c>
    </row>
    <row r="2" ht="15.75" customHeight="1">
      <c r="M2" s="119">
        <f>'BDD unique'!A15</f>
        <v>2</v>
      </c>
      <c r="N2" s="119" t="str">
        <f>'BDD unique'!B15</f>
        <v>BMW série 3</v>
      </c>
      <c r="O2" s="119" t="str">
        <f t="shared" si="1"/>
        <v>2 : BMW série 3</v>
      </c>
      <c r="Q2" s="119">
        <f>'BDD unique'!A9</f>
        <v>7</v>
      </c>
      <c r="R2" s="119" t="str">
        <f>'BDD unique'!B9</f>
        <v>Faure</v>
      </c>
      <c r="S2" s="119" t="str">
        <f>'BDD unique'!C9</f>
        <v>Michel</v>
      </c>
      <c r="T2" s="119" t="str">
        <f t="shared" si="2"/>
        <v>7 : Faure Michel</v>
      </c>
    </row>
    <row r="3">
      <c r="A3" s="120" t="s">
        <v>88</v>
      </c>
      <c r="B3" s="121"/>
      <c r="C3" s="122" t="s">
        <v>89</v>
      </c>
      <c r="M3" s="119">
        <f>'BDD unique'!A16</f>
        <v>3</v>
      </c>
      <c r="N3" s="119" t="str">
        <f>'BDD unique'!B16</f>
        <v>Renault mégane</v>
      </c>
      <c r="O3" s="119" t="str">
        <f t="shared" si="1"/>
        <v>3 : Renault mégane</v>
      </c>
      <c r="Q3" s="119">
        <f>'BDD unique'!A10</f>
        <v>8</v>
      </c>
      <c r="R3" s="119" t="str">
        <f>'BDD unique'!B10</f>
        <v>Huster</v>
      </c>
      <c r="S3" s="119" t="str">
        <f>'BDD unique'!C10</f>
        <v>Françis</v>
      </c>
      <c r="T3" s="119" t="str">
        <f t="shared" si="2"/>
        <v>8 : Huster Françis</v>
      </c>
    </row>
    <row r="4">
      <c r="A4" s="123" t="s">
        <v>90</v>
      </c>
      <c r="B4" s="124"/>
      <c r="C4" s="125">
        <v>1.0</v>
      </c>
      <c r="M4" s="119">
        <f>'BDD unique'!A17</f>
        <v>4</v>
      </c>
      <c r="N4" s="119" t="str">
        <f>'BDD unique'!B17</f>
        <v>Renault clio</v>
      </c>
      <c r="O4" s="119" t="str">
        <f t="shared" si="1"/>
        <v>4 : Renault clio</v>
      </c>
    </row>
    <row r="5" ht="15.75" customHeight="1">
      <c r="A5" s="126" t="s">
        <v>91</v>
      </c>
      <c r="B5" s="127"/>
      <c r="C5" s="128" t="s">
        <v>92</v>
      </c>
    </row>
    <row r="7" ht="3.75" customHeight="1"/>
    <row r="8" ht="3.75" customHeight="1"/>
    <row r="9">
      <c r="A9" s="129" t="s">
        <v>93</v>
      </c>
    </row>
    <row r="10">
      <c r="A10" s="130" t="s">
        <v>94</v>
      </c>
      <c r="B10" s="130" t="s">
        <v>95</v>
      </c>
      <c r="C10" s="130" t="s">
        <v>96</v>
      </c>
      <c r="D10" s="130" t="s">
        <v>97</v>
      </c>
      <c r="E10" s="130" t="s">
        <v>98</v>
      </c>
      <c r="F10" s="130" t="s">
        <v>99</v>
      </c>
    </row>
    <row r="11">
      <c r="A11" s="131">
        <v>42009.0</v>
      </c>
      <c r="B11" s="132">
        <v>2.0</v>
      </c>
      <c r="C11" s="132">
        <v>2.0</v>
      </c>
      <c r="D11" s="132">
        <v>7.0</v>
      </c>
      <c r="E11" s="133">
        <f>VLOOKUP(B11,'BDD unique'!$A$14:$D$17,3,FALSE)
</f>
        <v>32000</v>
      </c>
      <c r="F11" s="134">
        <f t="shared" ref="F11:F20" si="3">E11*C11</f>
        <v>64000</v>
      </c>
    </row>
    <row r="12">
      <c r="A12" s="131">
        <v>42010.0</v>
      </c>
      <c r="B12" s="132">
        <v>1.0</v>
      </c>
      <c r="C12" s="132">
        <v>2.0</v>
      </c>
      <c r="D12" s="132">
        <v>8.0</v>
      </c>
      <c r="E12" s="133">
        <f>VLOOKUP(B12,'BDD unique'!$A$14:$D$17,3,FALSE)
</f>
        <v>21000</v>
      </c>
      <c r="F12" s="134">
        <f t="shared" si="3"/>
        <v>42000</v>
      </c>
    </row>
    <row r="13">
      <c r="A13" s="131">
        <v>42011.0</v>
      </c>
      <c r="B13" s="132">
        <v>3.0</v>
      </c>
      <c r="C13" s="132">
        <v>15.0</v>
      </c>
      <c r="D13" s="132">
        <v>6.0</v>
      </c>
      <c r="E13" s="133">
        <f>VLOOKUP(B13,'BDD unique'!$A$14:$D$17,3,FALSE)
</f>
        <v>15000</v>
      </c>
      <c r="F13" s="134">
        <f t="shared" si="3"/>
        <v>225000</v>
      </c>
    </row>
    <row r="14">
      <c r="A14" s="131">
        <v>42012.0</v>
      </c>
      <c r="B14" s="132">
        <v>4.0</v>
      </c>
      <c r="C14" s="132">
        <v>10.0</v>
      </c>
      <c r="D14" s="132">
        <v>6.0</v>
      </c>
      <c r="E14" s="133">
        <f>VLOOKUP(B14,'BDD unique'!$A$14:$D$17,3,FALSE)
</f>
        <v>10000</v>
      </c>
      <c r="F14" s="134">
        <f t="shared" si="3"/>
        <v>100000</v>
      </c>
    </row>
    <row r="15">
      <c r="A15" s="131">
        <v>42013.0</v>
      </c>
      <c r="B15" s="132">
        <v>1.0</v>
      </c>
      <c r="C15" s="132">
        <v>10.0</v>
      </c>
      <c r="D15" s="132">
        <v>8.0</v>
      </c>
      <c r="E15" s="133">
        <f>VLOOKUP(B15,'BDD unique'!$A$14:$D$17,3,FALSE)
</f>
        <v>21000</v>
      </c>
      <c r="F15" s="134">
        <f t="shared" si="3"/>
        <v>210000</v>
      </c>
    </row>
    <row r="16">
      <c r="A16" s="131">
        <v>42014.0</v>
      </c>
      <c r="B16" s="132">
        <v>2.0</v>
      </c>
      <c r="C16" s="132">
        <v>3.0</v>
      </c>
      <c r="D16" s="132">
        <v>8.0</v>
      </c>
      <c r="E16" s="133">
        <f>VLOOKUP(B16,'BDD unique'!$A$14:$D$17,3,FALSE)
</f>
        <v>32000</v>
      </c>
      <c r="F16" s="134">
        <f t="shared" si="3"/>
        <v>96000</v>
      </c>
    </row>
    <row r="17">
      <c r="A17" s="131">
        <v>42015.0</v>
      </c>
      <c r="B17" s="132">
        <v>1.0</v>
      </c>
      <c r="C17" s="132">
        <v>4.0</v>
      </c>
      <c r="D17" s="132">
        <v>7.0</v>
      </c>
      <c r="E17" s="133">
        <f>VLOOKUP(B17,'BDD unique'!$A$14:$D$17,3,FALSE)
</f>
        <v>21000</v>
      </c>
      <c r="F17" s="134">
        <f t="shared" si="3"/>
        <v>84000</v>
      </c>
    </row>
    <row r="18">
      <c r="A18" s="131">
        <v>42016.0</v>
      </c>
      <c r="B18" s="132">
        <v>4.0</v>
      </c>
      <c r="C18" s="132">
        <v>10.0</v>
      </c>
      <c r="D18" s="132">
        <v>8.0</v>
      </c>
      <c r="E18" s="133">
        <f>VLOOKUP(B18,'BDD unique'!$A$14:$D$17,3,FALSE)
</f>
        <v>10000</v>
      </c>
      <c r="F18" s="134">
        <f t="shared" si="3"/>
        <v>100000</v>
      </c>
    </row>
    <row r="19">
      <c r="A19" s="131">
        <v>42017.0</v>
      </c>
      <c r="B19" s="132">
        <v>1.0</v>
      </c>
      <c r="C19" s="132">
        <v>10.0</v>
      </c>
      <c r="D19" s="132">
        <v>7.0</v>
      </c>
      <c r="E19" s="133">
        <f>VLOOKUP(B19,'BDD unique'!$A$14:$D$17,3,FALSE)
</f>
        <v>21000</v>
      </c>
      <c r="F19" s="134">
        <f t="shared" si="3"/>
        <v>210000</v>
      </c>
    </row>
    <row r="20">
      <c r="A20" s="131">
        <v>42018.0</v>
      </c>
      <c r="B20" s="132">
        <v>2.0</v>
      </c>
      <c r="C20" s="132">
        <v>3.0</v>
      </c>
      <c r="D20" s="132">
        <v>6.0</v>
      </c>
      <c r="E20" s="133">
        <f>VLOOKUP(B20,'BDD unique'!$A$14:$D$17,3,FALSE)
</f>
        <v>32000</v>
      </c>
      <c r="F20" s="134">
        <f t="shared" si="3"/>
        <v>96000</v>
      </c>
    </row>
    <row r="21" ht="15.75" customHeight="1"/>
    <row r="22" ht="15.75" customHeight="1"/>
    <row r="23" ht="15.75" customHeight="1">
      <c r="E23" s="119" t="s">
        <v>100</v>
      </c>
      <c r="F23" s="135">
        <f>AVERAGE(F11,F20)</f>
        <v>80000</v>
      </c>
    </row>
    <row r="24" ht="15.75" customHeight="1">
      <c r="E24" s="119" t="s">
        <v>101</v>
      </c>
      <c r="F24" s="135">
        <f>SUM(F11,F20) </f>
        <v>160000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dataValidations>
    <dataValidation type="decimal" operator="greaterThan" allowBlank="1" showInputMessage="1" showErrorMessage="1" prompt=" - " sqref="C4">
      <formula1>0.0</formula1>
    </dataValidation>
    <dataValidation type="list" allowBlank="1" showInputMessage="1" showErrorMessage="1" prompt=" - " sqref="C3">
      <formula1>$O$1:$O$4</formula1>
    </dataValidation>
    <dataValidation type="list" allowBlank="1" showInputMessage="1" showErrorMessage="1" prompt=" - " sqref="C5">
      <formula1>$T$1:$T$3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4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8.57"/>
    <col customWidth="1" min="3" max="3" width="20.57"/>
    <col customWidth="1" min="4" max="4" width="17.14"/>
    <col customWidth="1" min="5" max="5" width="12.86"/>
    <col customWidth="1" min="6" max="26" width="10.0"/>
  </cols>
  <sheetData>
    <row r="1" ht="42.0" customHeight="1">
      <c r="A1" s="136" t="s">
        <v>102</v>
      </c>
      <c r="B1" s="18"/>
      <c r="C1" s="18"/>
      <c r="D1" s="18"/>
      <c r="E1" s="19"/>
      <c r="F1" s="137"/>
      <c r="M1" s="119">
        <f>'BDD unique'!A14</f>
        <v>1</v>
      </c>
      <c r="N1" s="119" t="str">
        <f>'BDD unique'!B14</f>
        <v>Peugeot 406</v>
      </c>
      <c r="O1" s="119" t="str">
        <f t="shared" ref="O1:O4" si="1">CONCATENATE(M1," : ",N1)</f>
        <v>1 : Peugeot 406</v>
      </c>
      <c r="Q1" s="119">
        <f>'BDD unique'!A8</f>
        <v>6</v>
      </c>
      <c r="R1" s="119" t="str">
        <f>'BDD unique'!B8</f>
        <v>Vaillant</v>
      </c>
      <c r="S1" s="119" t="str">
        <f>'BDD unique'!C8</f>
        <v>Paul</v>
      </c>
      <c r="T1" s="119" t="str">
        <f t="shared" ref="T1:T3" si="2">CONCATENATE(Q1," : ",R1," ",S1)</f>
        <v>6 : Vaillant Paul</v>
      </c>
    </row>
    <row r="2" ht="15.75" customHeight="1">
      <c r="M2" s="119">
        <f>'BDD unique'!A15</f>
        <v>2</v>
      </c>
      <c r="N2" s="119" t="str">
        <f>'BDD unique'!B15</f>
        <v>BMW série 3</v>
      </c>
      <c r="O2" s="119" t="str">
        <f t="shared" si="1"/>
        <v>2 : BMW série 3</v>
      </c>
      <c r="Q2" s="119">
        <f>'BDD unique'!A9</f>
        <v>7</v>
      </c>
      <c r="R2" s="119" t="str">
        <f>'BDD unique'!B9</f>
        <v>Faure</v>
      </c>
      <c r="S2" s="119" t="str">
        <f>'BDD unique'!C9</f>
        <v>Michel</v>
      </c>
      <c r="T2" s="119" t="str">
        <f t="shared" si="2"/>
        <v>7 : Faure Michel</v>
      </c>
    </row>
    <row r="3">
      <c r="A3" s="138" t="s">
        <v>103</v>
      </c>
      <c r="B3" s="139"/>
      <c r="C3" s="140"/>
      <c r="M3" s="119">
        <f>'BDD unique'!A16</f>
        <v>3</v>
      </c>
      <c r="N3" s="119" t="str">
        <f>'BDD unique'!B16</f>
        <v>Renault mégane</v>
      </c>
      <c r="O3" s="119" t="str">
        <f t="shared" si="1"/>
        <v>3 : Renault mégane</v>
      </c>
      <c r="Q3" s="119">
        <f>'BDD unique'!A10</f>
        <v>8</v>
      </c>
      <c r="R3" s="119" t="str">
        <f>'BDD unique'!B10</f>
        <v>Huster</v>
      </c>
      <c r="S3" s="119" t="str">
        <f>'BDD unique'!C10</f>
        <v>Françis</v>
      </c>
      <c r="T3" s="119" t="str">
        <f t="shared" si="2"/>
        <v>8 : Huster Françis</v>
      </c>
    </row>
    <row r="4" ht="15.75" customHeight="1">
      <c r="A4" s="141" t="s">
        <v>104</v>
      </c>
      <c r="B4" s="142"/>
      <c r="C4" s="143"/>
      <c r="M4" s="119">
        <f>'BDD unique'!A17</f>
        <v>4</v>
      </c>
      <c r="N4" s="119" t="str">
        <f>'BDD unique'!B17</f>
        <v>Renault clio</v>
      </c>
      <c r="O4" s="119" t="str">
        <f t="shared" si="1"/>
        <v>4 : Renault clio</v>
      </c>
    </row>
    <row r="6" ht="3.75" customHeight="1"/>
    <row r="7" ht="3.75" customHeight="1"/>
    <row r="8" ht="3.75" customHeight="1"/>
    <row r="9">
      <c r="A9" s="129" t="s">
        <v>105</v>
      </c>
    </row>
    <row r="10">
      <c r="A10" s="144" t="s">
        <v>94</v>
      </c>
      <c r="B10" s="144" t="s">
        <v>106</v>
      </c>
      <c r="C10" s="144" t="s">
        <v>107</v>
      </c>
      <c r="D10" s="144" t="s">
        <v>108</v>
      </c>
      <c r="E10" s="144" t="s">
        <v>99</v>
      </c>
    </row>
    <row r="11">
      <c r="A11" s="131">
        <v>42006.0</v>
      </c>
      <c r="B11" s="132">
        <v>1.0</v>
      </c>
      <c r="C11" s="132">
        <v>20.0</v>
      </c>
      <c r="D11" s="133">
        <f>VLOOKUP(B11,'BDD unique'!$A$14:$D$17,3,FALSE)</f>
        <v>21000</v>
      </c>
      <c r="E11" s="133">
        <f t="shared" ref="E11:E15" si="3">D11*C11</f>
        <v>420000</v>
      </c>
    </row>
    <row r="12">
      <c r="A12" s="131">
        <v>42009.0</v>
      </c>
      <c r="B12" s="132">
        <v>2.0</v>
      </c>
      <c r="C12" s="132">
        <v>20.0</v>
      </c>
      <c r="D12" s="133">
        <f>VLOOKUP(B12,'BDD unique'!$A$14:$D$17,3,FALSE)</f>
        <v>32000</v>
      </c>
      <c r="E12" s="133">
        <f t="shared" si="3"/>
        <v>640000</v>
      </c>
    </row>
    <row r="13">
      <c r="A13" s="131">
        <v>42010.0</v>
      </c>
      <c r="B13" s="132">
        <v>3.0</v>
      </c>
      <c r="C13" s="132">
        <v>20.0</v>
      </c>
      <c r="D13" s="133">
        <f>VLOOKUP(B13,'BDD unique'!$A$14:$D$17,3,FALSE)</f>
        <v>15000</v>
      </c>
      <c r="E13" s="133">
        <f t="shared" si="3"/>
        <v>300000</v>
      </c>
    </row>
    <row r="14">
      <c r="A14" s="131">
        <v>42010.0</v>
      </c>
      <c r="B14" s="132">
        <v>4.0</v>
      </c>
      <c r="C14" s="132">
        <v>20.0</v>
      </c>
      <c r="D14" s="133">
        <f>VLOOKUP(B14,'BDD unique'!$A$14:$D$17,3,FALSE)</f>
        <v>10000</v>
      </c>
      <c r="E14" s="133">
        <f t="shared" si="3"/>
        <v>200000</v>
      </c>
    </row>
    <row r="15">
      <c r="A15" s="131">
        <v>42011.0</v>
      </c>
      <c r="B15" s="132">
        <v>1.0</v>
      </c>
      <c r="C15" s="132">
        <v>10.0</v>
      </c>
      <c r="D15" s="133">
        <f>VLOOKUP(B15,'BDD unique'!$A$14:$D$17,3,FALSE)</f>
        <v>21000</v>
      </c>
      <c r="E15" s="133">
        <f t="shared" si="3"/>
        <v>210000</v>
      </c>
    </row>
    <row r="16">
      <c r="A16" s="131"/>
      <c r="B16" s="132"/>
      <c r="C16" s="132"/>
      <c r="D16" s="133"/>
      <c r="E16" s="133"/>
    </row>
    <row r="17">
      <c r="A17" s="131"/>
      <c r="B17" s="132"/>
      <c r="C17" s="132"/>
      <c r="D17" s="133"/>
      <c r="E17" s="133"/>
    </row>
    <row r="20">
      <c r="D20" s="119" t="s">
        <v>100</v>
      </c>
      <c r="E20" s="135">
        <f> AVERAGE(E11 ,E15) 
 </f>
        <v>315000</v>
      </c>
    </row>
    <row r="21" ht="15.75" customHeight="1">
      <c r="D21" s="119" t="s">
        <v>101</v>
      </c>
      <c r="E21" s="135">
        <f>SUM(E11 ,E15)</f>
        <v>630000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dataValidations>
    <dataValidation type="decimal" operator="greaterThan" allowBlank="1" showInputMessage="1" showErrorMessage="1" prompt=" - " sqref="C4">
      <formula1>0.0</formula1>
    </dataValidation>
    <dataValidation type="list" allowBlank="1" showInputMessage="1" showErrorMessage="1" prompt=" - " sqref="C3">
      <formula1>$O$1:$O$4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5">
    <pageSetUpPr/>
  </sheetPr>
  <sheetViews>
    <sheetView workbookViewId="0"/>
  </sheetViews>
  <sheetFormatPr customHeight="1" defaultColWidth="14.43" defaultRowHeight="15.0"/>
  <cols>
    <col customWidth="1" min="1" max="1" width="10.0"/>
    <col customWidth="1" min="2" max="3" width="15.43"/>
    <col customWidth="1" min="4" max="6" width="10.0"/>
    <col customWidth="1" min="7" max="7" width="13.43"/>
    <col customWidth="1" min="8" max="26" width="10.0"/>
  </cols>
  <sheetData>
    <row r="1" ht="42.0" customHeight="1">
      <c r="A1" s="145" t="s">
        <v>109</v>
      </c>
      <c r="B1" s="18"/>
      <c r="C1" s="18"/>
      <c r="D1" s="18"/>
      <c r="E1" s="18"/>
      <c r="F1" s="18"/>
      <c r="G1" s="19"/>
    </row>
    <row r="2" ht="9.75" customHeight="1"/>
    <row r="3" ht="6.0" customHeight="1"/>
    <row r="4" ht="2.25" customHeight="1"/>
    <row r="6" ht="30.0" customHeight="1">
      <c r="A6" s="146" t="s">
        <v>110</v>
      </c>
      <c r="B6" s="146" t="s">
        <v>111</v>
      </c>
      <c r="C6" s="147" t="s">
        <v>112</v>
      </c>
      <c r="D6" s="146" t="s">
        <v>113</v>
      </c>
      <c r="E6" s="146" t="s">
        <v>114</v>
      </c>
      <c r="F6" s="146" t="s">
        <v>115</v>
      </c>
      <c r="G6" s="146" t="s">
        <v>116</v>
      </c>
    </row>
    <row r="7">
      <c r="A7" s="148">
        <f>'BDD unique'!A14</f>
        <v>1</v>
      </c>
      <c r="B7" s="148" t="str">
        <f>'BDD unique'!B14</f>
        <v>Peugeot 406</v>
      </c>
      <c r="C7" s="148">
        <f>'BDD unique'!D14</f>
        <v>19000</v>
      </c>
      <c r="D7" s="148">
        <f>SUMIF(Vente!B:B,A7,Vente!C:C)</f>
        <v>26</v>
      </c>
      <c r="E7" s="148">
        <f>SUMIF(Achat!B:B,A7,Achat!C:C)</f>
        <v>30</v>
      </c>
      <c r="F7" s="148">
        <f t="shared" ref="F7:F8" si="1">E7-D7</f>
        <v>4</v>
      </c>
      <c r="G7" s="149">
        <f t="shared" ref="G7:G10" si="2">IF(F7&gt;0,F7*C7,0)
</f>
        <v>76000</v>
      </c>
    </row>
    <row r="8">
      <c r="A8" s="132">
        <f>'BDD unique'!A15</f>
        <v>2</v>
      </c>
      <c r="B8" s="132" t="str">
        <f>'BDD unique'!B15</f>
        <v>BMW série 3</v>
      </c>
      <c r="C8" s="148">
        <f>'BDD unique'!D15</f>
        <v>31000</v>
      </c>
      <c r="D8" s="132">
        <f>SUMIF(Vente!B:B,A8,Vente!C:C)</f>
        <v>8</v>
      </c>
      <c r="E8" s="132">
        <f>SUMIF(Achat!B:B,A8,Achat!C:C)</f>
        <v>20</v>
      </c>
      <c r="F8" s="148">
        <f t="shared" si="1"/>
        <v>12</v>
      </c>
      <c r="G8" s="149">
        <f t="shared" si="2"/>
        <v>372000</v>
      </c>
    </row>
    <row r="9">
      <c r="A9" s="132">
        <f>'BDD unique'!A16</f>
        <v>3</v>
      </c>
      <c r="B9" s="132" t="str">
        <f>'BDD unique'!B16</f>
        <v>Renault mégane</v>
      </c>
      <c r="C9" s="148">
        <f>'BDD unique'!D16</f>
        <v>12000</v>
      </c>
      <c r="D9" s="132">
        <f>SUMIF(Vente!B:B,A9,Vente!C:C)</f>
        <v>15</v>
      </c>
      <c r="E9" s="132">
        <f>SUMIF(Achat!B:B,A9,Achat!C:C)</f>
        <v>20</v>
      </c>
      <c r="F9" s="150">
        <v>5.0</v>
      </c>
      <c r="G9" s="149">
        <f t="shared" si="2"/>
        <v>60000</v>
      </c>
    </row>
    <row r="10">
      <c r="A10" s="132">
        <f>'BDD unique'!A17</f>
        <v>4</v>
      </c>
      <c r="B10" s="132" t="str">
        <f>'BDD unique'!B17</f>
        <v>Renault clio</v>
      </c>
      <c r="C10" s="148">
        <f>'BDD unique'!D17</f>
        <v>7000</v>
      </c>
      <c r="D10" s="132">
        <f>SUMIF(Vente!B:B,A10,Vente!C:C)</f>
        <v>20</v>
      </c>
      <c r="E10" s="132">
        <f>SUMIF(Achat!B:B,A10,Achat!C:C)</f>
        <v>20</v>
      </c>
      <c r="F10" s="148">
        <f>E10-D10</f>
        <v>0</v>
      </c>
      <c r="G10" s="149">
        <f t="shared" si="2"/>
        <v>0</v>
      </c>
    </row>
    <row r="11">
      <c r="G11" s="149"/>
    </row>
    <row r="14">
      <c r="F14" s="119" t="s">
        <v>101</v>
      </c>
      <c r="G14" s="151">
        <f>SUM(G7:G13)</f>
        <v>508000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conditionalFormatting sqref="F7:F10">
    <cfRule type="cellIs" dxfId="0" priority="1" operator="between">
      <formula>0</formula>
      <formula>5</formula>
    </cfRule>
  </conditionalFormatting>
  <conditionalFormatting sqref="F7:F10">
    <cfRule type="cellIs" dxfId="1" priority="2" operator="lessThan">
      <formula>0</formula>
    </cfRule>
  </conditionalFormatting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6">
    <pageSetUpPr/>
  </sheetPr>
  <sheetViews>
    <sheetView workbookViewId="0"/>
  </sheetViews>
  <sheetFormatPr customHeight="1" defaultColWidth="14.43" defaultRowHeight="15.0"/>
  <cols>
    <col customWidth="1" min="1" max="1" width="16.29"/>
    <col customWidth="1" min="2" max="3" width="12.86"/>
    <col customWidth="1" min="4" max="26" width="10.0"/>
  </cols>
  <sheetData>
    <row r="1" ht="38.25" customHeight="1">
      <c r="A1" s="145" t="s">
        <v>117</v>
      </c>
      <c r="B1" s="18"/>
      <c r="C1" s="18"/>
      <c r="D1" s="18"/>
      <c r="E1" s="18"/>
      <c r="F1" s="18"/>
      <c r="G1" s="19"/>
    </row>
    <row r="3">
      <c r="A3" s="152" t="s">
        <v>118</v>
      </c>
    </row>
    <row r="5">
      <c r="B5" s="153" t="s">
        <v>119</v>
      </c>
      <c r="C5" s="153" t="s">
        <v>120</v>
      </c>
    </row>
    <row r="6">
      <c r="A6" s="153" t="s">
        <v>121</v>
      </c>
      <c r="B6" s="154">
        <f>SUM('BDD unique'!F3:F10)*12</f>
        <v>382800</v>
      </c>
      <c r="C6" s="154"/>
    </row>
    <row r="7">
      <c r="A7" s="153" t="s">
        <v>122</v>
      </c>
      <c r="B7" s="154"/>
      <c r="C7" s="155">
        <f>SUM('BDD unique'!F3:F10)*12</f>
        <v>382800</v>
      </c>
    </row>
    <row r="8">
      <c r="A8" s="153" t="s">
        <v>123</v>
      </c>
      <c r="B8" s="154">
        <f>Achat!E21</f>
        <v>630000</v>
      </c>
      <c r="C8" s="154"/>
    </row>
    <row r="9">
      <c r="A9" s="153" t="s">
        <v>116</v>
      </c>
      <c r="B9" s="154"/>
      <c r="C9" s="154">
        <f>Stock!G14</f>
        <v>508000</v>
      </c>
    </row>
    <row r="10" ht="15.75" customHeight="1">
      <c r="A10" s="153" t="s">
        <v>124</v>
      </c>
      <c r="B10" s="156">
        <f>B8*5%</f>
        <v>31500</v>
      </c>
      <c r="C10" s="156"/>
    </row>
    <row r="11" ht="15.75" customHeight="1">
      <c r="A11" s="153" t="s">
        <v>101</v>
      </c>
      <c r="B11" s="157">
        <f t="shared" ref="B11:C11" si="1">SUM(B6:B10)</f>
        <v>1044300</v>
      </c>
      <c r="C11" s="158">
        <f t="shared" si="1"/>
        <v>890800</v>
      </c>
    </row>
    <row r="15">
      <c r="A15" s="152" t="s">
        <v>125</v>
      </c>
      <c r="B15" s="159">
        <f>C11-B11</f>
        <v>-153500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7">
    <pageSetUpPr/>
  </sheetPr>
  <sheetViews>
    <sheetView workbookViewId="0"/>
  </sheetViews>
  <sheetFormatPr customHeight="1" defaultColWidth="14.43" defaultRowHeight="15.0"/>
  <cols>
    <col customWidth="1" min="1" max="1" width="20.29"/>
    <col customWidth="1" min="2" max="2" width="15.86"/>
    <col customWidth="1" min="3" max="3" width="18.0"/>
    <col customWidth="1" min="4" max="4" width="19.14"/>
    <col customWidth="1" min="5" max="5" width="17.43"/>
    <col customWidth="1" min="6" max="16" width="10.0"/>
    <col customWidth="1" min="17" max="17" width="2.0"/>
    <col customWidth="1" min="18" max="18" width="7.86"/>
    <col customWidth="1" min="19" max="19" width="7.14"/>
    <col customWidth="1" min="20" max="20" width="15.86"/>
    <col customWidth="1" min="21" max="26" width="10.0"/>
  </cols>
  <sheetData>
    <row r="1" ht="89.25" customHeight="1">
      <c r="A1" s="160" t="s">
        <v>126</v>
      </c>
      <c r="B1" s="18"/>
      <c r="C1" s="18"/>
      <c r="D1" s="18"/>
      <c r="E1" s="18"/>
      <c r="F1" s="18"/>
      <c r="G1" s="19"/>
      <c r="M1" s="119">
        <f>'BDD unique'!A14</f>
        <v>1</v>
      </c>
      <c r="N1" s="119" t="str">
        <f>'BDD unique'!B14</f>
        <v>Peugeot 406</v>
      </c>
      <c r="O1" s="119" t="str">
        <f t="shared" ref="O1:O4" si="1">CONCATENATE(M1," : ",N1)</f>
        <v>1 : Peugeot 406</v>
      </c>
      <c r="Q1" s="119">
        <f>'BDD unique'!A8</f>
        <v>6</v>
      </c>
      <c r="R1" s="119" t="str">
        <f>'BDD unique'!B8</f>
        <v>Vaillant</v>
      </c>
      <c r="S1" s="119" t="str">
        <f>'BDD unique'!C8</f>
        <v>Paul</v>
      </c>
      <c r="T1" s="119" t="str">
        <f t="shared" ref="T1:T3" si="2">CONCATENATE(Q1," : ",R1," ",S1)</f>
        <v>6 : Vaillant Paul</v>
      </c>
    </row>
    <row r="2">
      <c r="A2" s="161"/>
      <c r="M2" s="119">
        <f>'BDD unique'!A15</f>
        <v>2</v>
      </c>
      <c r="N2" s="119" t="str">
        <f>'BDD unique'!B15</f>
        <v>BMW série 3</v>
      </c>
      <c r="O2" s="119" t="str">
        <f t="shared" si="1"/>
        <v>2 : BMW série 3</v>
      </c>
      <c r="Q2" s="119">
        <f>'BDD unique'!A9</f>
        <v>7</v>
      </c>
      <c r="R2" s="119" t="str">
        <f>'BDD unique'!B9</f>
        <v>Faure</v>
      </c>
      <c r="S2" s="119" t="str">
        <f>'BDD unique'!C9</f>
        <v>Michel</v>
      </c>
      <c r="T2" s="119" t="str">
        <f t="shared" si="2"/>
        <v>7 : Faure Michel</v>
      </c>
    </row>
    <row r="3">
      <c r="A3" s="162" t="s">
        <v>127</v>
      </c>
      <c r="B3" s="37"/>
      <c r="C3" s="37"/>
      <c r="D3" s="37"/>
      <c r="E3" s="37"/>
      <c r="F3" s="37"/>
      <c r="G3" s="52"/>
      <c r="M3" s="119">
        <f>'BDD unique'!A16</f>
        <v>3</v>
      </c>
      <c r="N3" s="119" t="str">
        <f>'BDD unique'!B16</f>
        <v>Renault mégane</v>
      </c>
      <c r="O3" s="119" t="str">
        <f t="shared" si="1"/>
        <v>3 : Renault mégane</v>
      </c>
      <c r="Q3" s="119">
        <f>'BDD unique'!A10</f>
        <v>8</v>
      </c>
      <c r="R3" s="119" t="str">
        <f>'BDD unique'!B10</f>
        <v>Huster</v>
      </c>
      <c r="S3" s="119" t="str">
        <f>'BDD unique'!C10</f>
        <v>Françis</v>
      </c>
      <c r="T3" s="119" t="str">
        <f t="shared" si="2"/>
        <v>8 : Huster Françis</v>
      </c>
    </row>
    <row r="4">
      <c r="M4" s="119">
        <f>'BDD unique'!A17</f>
        <v>4</v>
      </c>
      <c r="N4" s="119" t="str">
        <f>'BDD unique'!B17</f>
        <v>Renault clio</v>
      </c>
      <c r="O4" s="119" t="str">
        <f t="shared" si="1"/>
        <v>4 : Renault clio</v>
      </c>
    </row>
    <row r="5">
      <c r="C5" s="163" t="s">
        <v>128</v>
      </c>
      <c r="D5" s="163" t="s">
        <v>129</v>
      </c>
    </row>
    <row r="6">
      <c r="C6" s="132" t="str">
        <f t="shared" ref="C6:C8" si="3">T1</f>
        <v>6 : Vaillant Paul</v>
      </c>
      <c r="D6" s="132">
        <f>SUMIF(Vente!D:D,'Décisionnel'!Q1,Vente!C:C)</f>
        <v>28</v>
      </c>
    </row>
    <row r="7">
      <c r="C7" s="132" t="str">
        <f t="shared" si="3"/>
        <v>7 : Faure Michel</v>
      </c>
      <c r="D7" s="132">
        <f>SUMIF(Vente!D:D,'Décisionnel'!Q2,Vente!C:C)</f>
        <v>16</v>
      </c>
    </row>
    <row r="8">
      <c r="C8" s="132" t="str">
        <f t="shared" si="3"/>
        <v>8 : Huster Françis</v>
      </c>
      <c r="D8" s="132">
        <f>SUMIF(Vente!D:D,'Décisionnel'!Q3,Vente!C:C)</f>
        <v>25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>
      <c r="A26" s="162" t="s">
        <v>130</v>
      </c>
      <c r="B26" s="37"/>
      <c r="C26" s="37"/>
      <c r="D26" s="37"/>
      <c r="E26" s="37"/>
      <c r="F26" s="37"/>
      <c r="G26" s="52"/>
    </row>
    <row r="27" ht="15.75" customHeight="1"/>
    <row r="28" ht="15.75" customHeight="1">
      <c r="C28" s="163" t="s">
        <v>131</v>
      </c>
      <c r="D28" s="163" t="s">
        <v>129</v>
      </c>
    </row>
    <row r="29" ht="15.75" customHeight="1">
      <c r="C29" s="132" t="str">
        <f t="shared" ref="C29:C32" si="4">O1</f>
        <v>1 : Peugeot 406</v>
      </c>
      <c r="D29" s="132">
        <f>SUMIF(Vente!B:B,'Décisionnel'!M1,Vente!C:C)</f>
        <v>26</v>
      </c>
    </row>
    <row r="30" ht="15.75" customHeight="1">
      <c r="C30" s="132" t="str">
        <f t="shared" si="4"/>
        <v>2 : BMW série 3</v>
      </c>
      <c r="D30" s="132">
        <f>SUMIF(Vente!B:B,'Décisionnel'!M2,Vente!C:C)</f>
        <v>8</v>
      </c>
    </row>
    <row r="31" ht="15.75" customHeight="1">
      <c r="C31" s="132" t="str">
        <f t="shared" si="4"/>
        <v>3 : Renault mégane</v>
      </c>
      <c r="D31" s="132">
        <f>SUMIF(Vente!B:B,'Décisionnel'!M3,Vente!C:C)</f>
        <v>15</v>
      </c>
    </row>
    <row r="32" ht="15.75" customHeight="1">
      <c r="C32" s="132" t="str">
        <f t="shared" si="4"/>
        <v>4 : Renault clio</v>
      </c>
      <c r="D32" s="132">
        <f>SUMIF(Vente!B:B,'Décisionnel'!M4,Vente!C:C)</f>
        <v>20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>
      <c r="A50" s="162" t="s">
        <v>132</v>
      </c>
      <c r="B50" s="37"/>
      <c r="C50" s="37"/>
      <c r="D50" s="37"/>
      <c r="E50" s="37"/>
      <c r="F50" s="37"/>
      <c r="G50" s="52"/>
    </row>
    <row r="51" ht="15.75" customHeight="1"/>
    <row r="52" ht="30.0" customHeight="1">
      <c r="A52" s="163" t="s">
        <v>131</v>
      </c>
      <c r="B52" s="164" t="s">
        <v>133</v>
      </c>
      <c r="C52" s="163" t="s">
        <v>134</v>
      </c>
      <c r="D52" s="165" t="s">
        <v>135</v>
      </c>
      <c r="E52" s="165" t="s">
        <v>136</v>
      </c>
      <c r="F52" s="165" t="s">
        <v>137</v>
      </c>
    </row>
    <row r="53" ht="15.75" customHeight="1">
      <c r="A53" s="132" t="str">
        <f t="shared" ref="A53:A56" si="5">O1</f>
        <v>1 : Peugeot 406</v>
      </c>
      <c r="B53" s="166">
        <f>'BDD unique'!D14
</f>
        <v>19000</v>
      </c>
      <c r="C53" s="166">
        <f>'BDD unique'!C14</f>
        <v>21000</v>
      </c>
      <c r="D53" s="166">
        <f t="shared" ref="D53:D56" si="6">C53-B53</f>
        <v>2000</v>
      </c>
      <c r="E53" s="166">
        <f>Stock!D7</f>
        <v>26</v>
      </c>
      <c r="F53" s="166">
        <f t="shared" ref="F53:F56" si="7">E53*D53</f>
        <v>52000</v>
      </c>
    </row>
    <row r="54" ht="15.75" customHeight="1">
      <c r="A54" s="132" t="str">
        <f t="shared" si="5"/>
        <v>2 : BMW série 3</v>
      </c>
      <c r="B54" s="166">
        <f>'BDD unique'!D15
</f>
        <v>31000</v>
      </c>
      <c r="C54" s="166">
        <f>'BDD unique'!C15</f>
        <v>32000</v>
      </c>
      <c r="D54" s="166">
        <f t="shared" si="6"/>
        <v>1000</v>
      </c>
      <c r="E54" s="166">
        <f>Stock!D8</f>
        <v>8</v>
      </c>
      <c r="F54" s="166">
        <f t="shared" si="7"/>
        <v>8000</v>
      </c>
    </row>
    <row r="55" ht="15.75" customHeight="1">
      <c r="A55" s="132" t="str">
        <f t="shared" si="5"/>
        <v>3 : Renault mégane</v>
      </c>
      <c r="B55" s="166">
        <f>'BDD unique'!D16
</f>
        <v>12000</v>
      </c>
      <c r="C55" s="166">
        <f>'BDD unique'!C16</f>
        <v>15000</v>
      </c>
      <c r="D55" s="166">
        <f t="shared" si="6"/>
        <v>3000</v>
      </c>
      <c r="E55" s="166">
        <f>Stock!D9</f>
        <v>15</v>
      </c>
      <c r="F55" s="166">
        <f t="shared" si="7"/>
        <v>45000</v>
      </c>
    </row>
    <row r="56" ht="15.75" customHeight="1">
      <c r="A56" s="132" t="str">
        <f t="shared" si="5"/>
        <v>4 : Renault clio</v>
      </c>
      <c r="B56" s="166">
        <f>'BDD unique'!D17
</f>
        <v>7000</v>
      </c>
      <c r="C56" s="166">
        <f>'BDD unique'!C17</f>
        <v>10000</v>
      </c>
      <c r="D56" s="166">
        <f t="shared" si="6"/>
        <v>3000</v>
      </c>
      <c r="E56" s="166">
        <f>Stock!D10</f>
        <v>20</v>
      </c>
      <c r="F56" s="166">
        <f t="shared" si="7"/>
        <v>60000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G1"/>
    <mergeCell ref="A2:F2"/>
    <mergeCell ref="A3:G3"/>
    <mergeCell ref="A26:G26"/>
    <mergeCell ref="A50:G50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2015-09-22T16:55:53Z</dcterms:created>
  <dc:creator>Benjamin</dc:creator>
</cp:coreProperties>
</file>